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uchin/Documents/MySecondBrain/1. 職涯發展 (Career Development)/好室友，有好事/02. 產品管理 (Product Management)/功能規格 (Feature Specs)/"/>
    </mc:Choice>
  </mc:AlternateContent>
  <xr:revisionPtr revIDLastSave="0" documentId="13_ncr:1_{0A96A125-4C71-5243-B4D3-274260CB6402}" xr6:coauthVersionLast="47" xr6:coauthVersionMax="47" xr10:uidLastSave="{00000000-0000-0000-0000-000000000000}"/>
  <bookViews>
    <workbookView xWindow="7000" yWindow="500" windowWidth="21800" windowHeight="15940" activeTab="1" xr2:uid="{DDD19EC9-F34D-2F46-9BCF-15D091104914}"/>
  </bookViews>
  <sheets>
    <sheet name="找人邏輯" sheetId="1" r:id="rId1"/>
    <sheet name="找人邏輯v2" sheetId="6" r:id="rId2"/>
    <sheet name="找人滑桿" sheetId="7" r:id="rId3"/>
    <sheet name="找人參數設定" sheetId="2" r:id="rId4"/>
    <sheet name="找房參數設定" sheetId="4" r:id="rId5"/>
    <sheet name="找房邏輯" sheetId="3" r:id="rId6"/>
    <sheet name="個人主頁模組" sheetId="5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O95" i="1" l="1"/>
</calcChain>
</file>

<file path=xl/sharedStrings.xml><?xml version="1.0" encoding="utf-8"?>
<sst xmlns="http://schemas.openxmlformats.org/spreadsheetml/2006/main" count="1250" uniqueCount="272">
  <si>
    <t>需求編號</t>
    <phoneticPr fontId="1" type="noConversion"/>
  </si>
  <si>
    <t>順位一</t>
    <phoneticPr fontId="1" type="noConversion"/>
  </si>
  <si>
    <t>順位二</t>
    <phoneticPr fontId="1" type="noConversion"/>
  </si>
  <si>
    <t>順位三</t>
    <phoneticPr fontId="1" type="noConversion"/>
  </si>
  <si>
    <t>意向</t>
    <phoneticPr fontId="1" type="noConversion"/>
  </si>
  <si>
    <t>D1</t>
    <phoneticPr fontId="1" type="noConversion"/>
  </si>
  <si>
    <t>D2</t>
    <phoneticPr fontId="1" type="noConversion"/>
  </si>
  <si>
    <t>D3</t>
    <phoneticPr fontId="1" type="noConversion"/>
  </si>
  <si>
    <t>D4</t>
    <phoneticPr fontId="1" type="noConversion"/>
  </si>
  <si>
    <t>D5</t>
    <phoneticPr fontId="1" type="noConversion"/>
  </si>
  <si>
    <t>D6</t>
  </si>
  <si>
    <t>D6</t>
    <phoneticPr fontId="1" type="noConversion"/>
  </si>
  <si>
    <t>D7</t>
    <phoneticPr fontId="1" type="noConversion"/>
  </si>
  <si>
    <t>D8</t>
    <phoneticPr fontId="1" type="noConversion"/>
  </si>
  <si>
    <t>D9</t>
    <phoneticPr fontId="1" type="noConversion"/>
  </si>
  <si>
    <t>D10</t>
    <phoneticPr fontId="1" type="noConversion"/>
  </si>
  <si>
    <t>順位四</t>
    <phoneticPr fontId="1" type="noConversion"/>
  </si>
  <si>
    <t>順位五</t>
    <phoneticPr fontId="1" type="noConversion"/>
  </si>
  <si>
    <t>生活共用品(如衛生紙)</t>
  </si>
  <si>
    <t>寵物偏好</t>
    <phoneticPr fontId="1" type="noConversion"/>
  </si>
  <si>
    <t>作息時間</t>
  </si>
  <si>
    <t>室友性別</t>
  </si>
  <si>
    <t>社交偏好</t>
  </si>
  <si>
    <t>層級</t>
    <phoneticPr fontId="1" type="noConversion"/>
  </si>
  <si>
    <t>L1</t>
    <phoneticPr fontId="1" type="noConversion"/>
  </si>
  <si>
    <t>L2</t>
  </si>
  <si>
    <t>L2</t>
    <phoneticPr fontId="1" type="noConversion"/>
  </si>
  <si>
    <t>L3</t>
    <phoneticPr fontId="1" type="noConversion"/>
  </si>
  <si>
    <t>L4</t>
    <phoneticPr fontId="1" type="noConversion"/>
  </si>
  <si>
    <t>75-100</t>
    <phoneticPr fontId="1" type="noConversion"/>
  </si>
  <si>
    <t>50-74</t>
    <phoneticPr fontId="1" type="noConversion"/>
  </si>
  <si>
    <t>25-49</t>
    <phoneticPr fontId="1" type="noConversion"/>
  </si>
  <si>
    <t>0-25</t>
    <phoneticPr fontId="1" type="noConversion"/>
  </si>
  <si>
    <t>Demand_score(%)</t>
    <phoneticPr fontId="1" type="noConversion"/>
  </si>
  <si>
    <t>D11</t>
    <phoneticPr fontId="1" type="noConversion"/>
  </si>
  <si>
    <t>Similarity_weight</t>
    <phoneticPr fontId="1" type="noConversion"/>
  </si>
  <si>
    <t>預算</t>
    <phoneticPr fontId="1" type="noConversion"/>
  </si>
  <si>
    <t>期望地點1</t>
    <phoneticPr fontId="1" type="noConversion"/>
  </si>
  <si>
    <t>期望地點2</t>
    <phoneticPr fontId="1" type="noConversion"/>
  </si>
  <si>
    <t>期望地點3</t>
    <phoneticPr fontId="1" type="noConversion"/>
  </si>
  <si>
    <t>大安</t>
    <phoneticPr fontId="1" type="noConversion"/>
  </si>
  <si>
    <t>中山</t>
    <phoneticPr fontId="1" type="noConversion"/>
  </si>
  <si>
    <t>信義</t>
    <phoneticPr fontId="1" type="noConversion"/>
  </si>
  <si>
    <t>士林</t>
    <phoneticPr fontId="1" type="noConversion"/>
  </si>
  <si>
    <t>淡水</t>
    <phoneticPr fontId="1" type="noConversion"/>
  </si>
  <si>
    <t>大同</t>
    <phoneticPr fontId="1" type="noConversion"/>
  </si>
  <si>
    <t>中正</t>
  </si>
  <si>
    <t>中正</t>
    <phoneticPr fontId="1" type="noConversion"/>
  </si>
  <si>
    <t>中和</t>
    <phoneticPr fontId="1" type="noConversion"/>
  </si>
  <si>
    <t>永和</t>
    <phoneticPr fontId="1" type="noConversion"/>
  </si>
  <si>
    <t>松山</t>
    <phoneticPr fontId="1" type="noConversion"/>
  </si>
  <si>
    <t>萬華</t>
  </si>
  <si>
    <t>萬華</t>
    <phoneticPr fontId="1" type="noConversion"/>
  </si>
  <si>
    <t>板橋</t>
    <phoneticPr fontId="1" type="noConversion"/>
  </si>
  <si>
    <t>北投</t>
    <phoneticPr fontId="1" type="noConversion"/>
  </si>
  <si>
    <t>內湖</t>
  </si>
  <si>
    <t>內湖</t>
    <phoneticPr fontId="1" type="noConversion"/>
  </si>
  <si>
    <t>南港</t>
    <phoneticPr fontId="1" type="noConversion"/>
  </si>
  <si>
    <t>室友性別</t>
    <phoneticPr fontId="1" type="noConversion"/>
  </si>
  <si>
    <t>可接受活動於公共空間</t>
    <phoneticPr fontId="1" type="noConversion"/>
  </si>
  <si>
    <t>朝九晚五</t>
    <phoneticPr fontId="1" type="noConversion"/>
  </si>
  <si>
    <t>Pool</t>
    <phoneticPr fontId="1" type="noConversion"/>
  </si>
  <si>
    <t>新需求 Step1:計算分數 + 分類此需求</t>
    <phoneticPr fontId="1" type="noConversion"/>
  </si>
  <si>
    <t xml:space="preserve"> Step2:檢查對應的分類中，需求量是否&lt;=X （假設X=3）</t>
    <phoneticPr fontId="1" type="noConversion"/>
  </si>
  <si>
    <t>硬條件篩選1：地區</t>
    <phoneticPr fontId="1" type="noConversion"/>
  </si>
  <si>
    <t>硬條件篩選2：順位一條件</t>
    <phoneticPr fontId="1" type="noConversion"/>
  </si>
  <si>
    <t>如果X&gt;3則進入硬條件篩選1</t>
    <phoneticPr fontId="1" type="noConversion"/>
  </si>
  <si>
    <t>如果X&gt;3則進入硬條件篩選2</t>
    <phoneticPr fontId="1" type="noConversion"/>
  </si>
  <si>
    <t>硬條件篩選3：順位二條件</t>
    <phoneticPr fontId="1" type="noConversion"/>
  </si>
  <si>
    <t>如果X&gt;3則進入硬條件篩選3</t>
    <phoneticPr fontId="1" type="noConversion"/>
  </si>
  <si>
    <t>如篩選出X&lt;=3個則進入Similarity計算</t>
    <phoneticPr fontId="1" type="noConversion"/>
  </si>
  <si>
    <t>…</t>
    <phoneticPr fontId="1" type="noConversion"/>
  </si>
  <si>
    <t>Similarity</t>
    <phoneticPr fontId="1" type="noConversion"/>
  </si>
  <si>
    <t>生活共用品(如衛生紙)</t>
    <phoneticPr fontId="1" type="noConversion"/>
  </si>
  <si>
    <t>想分開買</t>
    <phoneticPr fontId="1" type="noConversion"/>
  </si>
  <si>
    <t>夜貓、時間較彈性</t>
    <phoneticPr fontId="1" type="noConversion"/>
  </si>
  <si>
    <t>社交偏好</t>
    <phoneticPr fontId="1" type="noConversion"/>
  </si>
  <si>
    <t xml:space="preserve">1x30% + 0x0% + 1x20% + 0x0% + 0x0% </t>
    <phoneticPr fontId="1" type="noConversion"/>
  </si>
  <si>
    <t xml:space="preserve">1x30% + 1x10% + 0x0% + 0x0% + 0x0% </t>
    <phoneticPr fontId="1" type="noConversion"/>
  </si>
  <si>
    <t xml:space="preserve">1x30% + 1x20% + 0x10% + 0x0% + 0x0% </t>
    <phoneticPr fontId="1" type="noConversion"/>
  </si>
  <si>
    <t>=50%</t>
    <phoneticPr fontId="1" type="noConversion"/>
  </si>
  <si>
    <t>=40%</t>
    <phoneticPr fontId="1" type="noConversion"/>
  </si>
  <si>
    <t>推薦順序</t>
    <phoneticPr fontId="1" type="noConversion"/>
  </si>
  <si>
    <t>D4 -&gt;</t>
    <phoneticPr fontId="1" type="noConversion"/>
  </si>
  <si>
    <t>D6 -&gt;</t>
    <phoneticPr fontId="1" type="noConversion"/>
  </si>
  <si>
    <t>User_score_weight</t>
    <phoneticPr fontId="1" type="noConversion"/>
  </si>
  <si>
    <t>User_score</t>
    <phoneticPr fontId="1" type="noConversion"/>
  </si>
  <si>
    <t>Demand_Score</t>
    <phoneticPr fontId="1" type="noConversion"/>
  </si>
  <si>
    <t>Profile_score</t>
    <phoneticPr fontId="1" type="noConversion"/>
  </si>
  <si>
    <t>第二階段需求填寫</t>
    <phoneticPr fontId="1" type="noConversion"/>
  </si>
  <si>
    <t>性別</t>
    <phoneticPr fontId="1" type="noConversion"/>
  </si>
  <si>
    <t>租屋年資</t>
    <phoneticPr fontId="1" type="noConversion"/>
  </si>
  <si>
    <t>合租年資</t>
    <phoneticPr fontId="1" type="noConversion"/>
  </si>
  <si>
    <t>職業類別</t>
    <phoneticPr fontId="1" type="noConversion"/>
  </si>
  <si>
    <t>照片</t>
    <phoneticPr fontId="1" type="noConversion"/>
  </si>
  <si>
    <t>形容tag</t>
    <phoneticPr fontId="1" type="noConversion"/>
  </si>
  <si>
    <t>自介</t>
    <phoneticPr fontId="1" type="noConversion"/>
  </si>
  <si>
    <t>女</t>
    <phoneticPr fontId="1" type="noConversion"/>
  </si>
  <si>
    <t>顧問</t>
    <phoneticPr fontId="1" type="noConversion"/>
  </si>
  <si>
    <t>收入區間（年）</t>
    <phoneticPr fontId="1" type="noConversion"/>
  </si>
  <si>
    <t>30000-40000</t>
    <phoneticPr fontId="1" type="noConversion"/>
  </si>
  <si>
    <t>#抽菸 #小酌</t>
    <phoneticPr fontId="1" type="noConversion"/>
  </si>
  <si>
    <t>Hi 大家好….</t>
    <phoneticPr fontId="1" type="noConversion"/>
  </si>
  <si>
    <t>Profile_weight</t>
    <phoneticPr fontId="1" type="noConversion"/>
  </si>
  <si>
    <t>職業</t>
    <phoneticPr fontId="1" type="noConversion"/>
  </si>
  <si>
    <t>收入</t>
    <phoneticPr fontId="1" type="noConversion"/>
  </si>
  <si>
    <t>tag</t>
    <phoneticPr fontId="1" type="noConversion"/>
  </si>
  <si>
    <t>=90%</t>
    <phoneticPr fontId="1" type="noConversion"/>
  </si>
  <si>
    <t>Profile_score = Σ (使用者填寫的欄位 × Profile_weight)</t>
    <phoneticPr fontId="1" type="noConversion"/>
  </si>
  <si>
    <t>Similarity = Σ (順位&amp;意向條件向量 × 來源需求的Similarity_weight)</t>
    <phoneticPr fontId="1" type="noConversion"/>
  </si>
  <si>
    <t>User Score=Σ (使用者填寫的欄位 × User_score_weight)</t>
    <phoneticPr fontId="1" type="noConversion"/>
  </si>
  <si>
    <t>Demand_score = User_score + (Profile_score x b)</t>
    <phoneticPr fontId="1" type="noConversion"/>
  </si>
  <si>
    <t>*b=0.2</t>
    <phoneticPr fontId="1" type="noConversion"/>
  </si>
  <si>
    <t>0-24.0</t>
    <phoneticPr fontId="1" type="noConversion"/>
  </si>
  <si>
    <t>24-49.0</t>
    <phoneticPr fontId="1" type="noConversion"/>
  </si>
  <si>
    <t>50-74.0</t>
    <phoneticPr fontId="1" type="noConversion"/>
  </si>
  <si>
    <t>項目</t>
    <phoneticPr fontId="1" type="noConversion"/>
  </si>
  <si>
    <t>變動內容</t>
    <phoneticPr fontId="1" type="noConversion"/>
  </si>
  <si>
    <t>項目區塊</t>
    <phoneticPr fontId="1" type="noConversion"/>
  </si>
  <si>
    <t>範例</t>
    <phoneticPr fontId="1" type="noConversion"/>
  </si>
  <si>
    <t>在意的項目（從「我最在意」～「我的預算」）</t>
    <phoneticPr fontId="1" type="noConversion"/>
  </si>
  <si>
    <t>多選項目（ex 地點）</t>
    <phoneticPr fontId="1" type="noConversion"/>
  </si>
  <si>
    <t>在後面推薦時，可以是完全等於、部分等於</t>
    <phoneticPr fontId="1" type="noConversion"/>
  </si>
  <si>
    <t>找人需求創建_第一階段</t>
    <phoneticPr fontId="1" type="noConversion"/>
  </si>
  <si>
    <t>找人需求創建_第二階段</t>
    <phoneticPr fontId="1" type="noConversion"/>
  </si>
  <si>
    <t>找房需求創建</t>
    <phoneticPr fontId="1" type="noConversion"/>
  </si>
  <si>
    <t>項目下的意向</t>
    <phoneticPr fontId="1" type="noConversion"/>
  </si>
  <si>
    <t>社交偏好下的意向：偏好個人空間、偏好群體互動、都可以
在推薦階段，新增的「都可以」意向可以控制向量為1</t>
    <phoneticPr fontId="1" type="noConversion"/>
  </si>
  <si>
    <t>在意的項目（從「性別」～「自我介紹」）</t>
    <phoneticPr fontId="1" type="noConversion"/>
  </si>
  <si>
    <t>1. 新增/編輯/刪減（關閉）項目
2. 項目的權重（User_score_weight, Similarity_weight）</t>
    <phoneticPr fontId="1" type="noConversion"/>
  </si>
  <si>
    <t>1. 可以新增/編輯/刪減（關閉）至「我第n個在意」
2. 權重可自行調整比例</t>
    <phoneticPr fontId="1" type="noConversion"/>
  </si>
  <si>
    <t>可以新增/編輯/刪減（關閉）意向內容、意象數，並且允許後台調整意象的向量</t>
    <phoneticPr fontId="1" type="noConversion"/>
  </si>
  <si>
    <t>1. 新增/編輯/刪減（關閉）項目
2. 項目的權重（Profile_score_weight）</t>
    <phoneticPr fontId="1" type="noConversion"/>
  </si>
  <si>
    <t>可以新增/編輯/刪減（關閉）項目，新增「寵物照顧經驗」、刪除「與人合租經驗」</t>
    <phoneticPr fontId="1" type="noConversion"/>
  </si>
  <si>
    <t>除了「地點、設備、價格、格局、可寵物、可開伙、對外窗、水泥隔閡、有管理室、可報稅、垃圾代收、可入籍、可租補」，可以針對這些面向進行新增/編輯/刪減（關閉）</t>
    <phoneticPr fontId="1" type="noConversion"/>
  </si>
  <si>
    <t>可以新增/編輯/刪減（關閉）內容</t>
    <phoneticPr fontId="1" type="noConversion"/>
  </si>
  <si>
    <t>多選的項目</t>
    <phoneticPr fontId="1" type="noConversion"/>
  </si>
  <si>
    <t>下拉清單</t>
    <phoneticPr fontId="1" type="noConversion"/>
  </si>
  <si>
    <t>像是格局，目前有「整層住家、獨立套房、分租套房、雅房、店面、辦公、住辦、廠房」，可以新增/編輯/刪減（關閉）這些清單內容</t>
    <phoneticPr fontId="1" type="noConversion"/>
  </si>
  <si>
    <t>（Figma上也有放上此段邏輯）</t>
    <phoneticPr fontId="1" type="noConversion"/>
  </si>
  <si>
    <t>價格：先判斷是否為最在意條件，若是，則需完全介於使用者填寫區間才會得分；若否，只要物件租金的金額是使用者填寫的下界-1500或上界+1500，則視為向量1</t>
  </si>
  <si>
    <t>設備：先判斷是否為最在意條件，若是，則需完全符合使用者填寫區間才會得分；若否，只要物件設備條件符合使用者填選的條件的一半，則視為向量1</t>
  </si>
  <si>
    <t>地點：其中一個符合，則視為向量1</t>
  </si>
  <si>
    <t>格局：其中一個符合，則視為向量1</t>
  </si>
  <si>
    <t>計算Similarity時，其中幾個多選項目的邏輯</t>
    <phoneticPr fontId="1" type="noConversion"/>
  </si>
  <si>
    <t>同一個使用者一天可以run這個演算三次（找房、找人都是）</t>
    <phoneticPr fontId="1" type="noConversion"/>
  </si>
  <si>
    <t>一天更新幾次</t>
    <phoneticPr fontId="1" type="noConversion"/>
  </si>
  <si>
    <t>1. 時間超過2個月即不列入推薦
2. 仍顯示於瀑布牆
3. 聊聊仍開啟，其他人仍然可以主動開啟聊聊</t>
    <phoneticPr fontId="1" type="noConversion"/>
  </si>
  <si>
    <t>超過2個月的「找人的需求」</t>
    <phoneticPr fontId="1" type="noConversion"/>
  </si>
  <si>
    <t>找人需求創建</t>
    <phoneticPr fontId="1" type="noConversion"/>
  </si>
  <si>
    <t>找人需求推薦</t>
    <phoneticPr fontId="1" type="noConversion"/>
  </si>
  <si>
    <t>左滑、右滑</t>
    <phoneticPr fontId="1" type="noConversion"/>
  </si>
  <si>
    <t>沒有符合推薦標準時、計算沒有配對結果時</t>
    <phoneticPr fontId="1" type="noConversion"/>
  </si>
  <si>
    <t>初始設定一天更新3次</t>
  </si>
  <si>
    <t>聊聊功能視為「使用者是否想被reach out」</t>
    <phoneticPr fontId="1" type="noConversion"/>
  </si>
  <si>
    <t>依照需求條件推薦最新的10筆</t>
    <phoneticPr fontId="1" type="noConversion"/>
  </si>
  <si>
    <t>依照需求條件推薦最新的10筆，若需求條件皆null，則推薦最新撈進系統的前10筆</t>
    <phoneticPr fontId="1" type="noConversion"/>
  </si>
  <si>
    <t>找人需求推薦-第一階段推薦</t>
    <phoneticPr fontId="1" type="noConversion"/>
  </si>
  <si>
    <t>推薦數量</t>
    <phoneticPr fontId="1" type="noConversion"/>
  </si>
  <si>
    <t>找人需求推薦-第二階段推薦</t>
    <phoneticPr fontId="1" type="noConversion"/>
  </si>
  <si>
    <t>User Score &gt; X 推薦 Y 筆資料, User Score&lt;X 就推薦 Z 筆
初始值，X=50 Y=15 Z=8</t>
    <phoneticPr fontId="1" type="noConversion"/>
  </si>
  <si>
    <t>User_score_weight
Similarity_weight
Demand_score(%)</t>
    <phoneticPr fontId="1" type="noConversion"/>
  </si>
  <si>
    <t>找人需求推薦_第一階</t>
    <phoneticPr fontId="1" type="noConversion"/>
  </si>
  <si>
    <t>找人需求推薦_第二階</t>
    <phoneticPr fontId="1" type="noConversion"/>
  </si>
  <si>
    <t xml:space="preserve">『User_score』
1. 未來權重值可調整
2. 目前MVP版本的User_score_weight每個欄位權重相同
3. 考量欄位有：順位一～順位五、地點、預算
『Similarity』
1. 未來權重值可調整
2. 目前MVP版本的Similarity_weight權重遞減
3. 考量欄位有：順位一～順位五（MVP版本權重分別30/20/10/10/10）
</t>
    <phoneticPr fontId="1" type="noConversion"/>
  </si>
  <si>
    <t>b =</t>
    <phoneticPr fontId="1" type="noConversion"/>
  </si>
  <si>
    <t>『Profile_weight』
1. 未來權重值可調整
2. 目前MVP版本的Profile_weight不同欄位有不同權重值
3. 考量欄位有：性別、租屋年資、合租年資、職業類別、收入區間（年）、照片、形容tag、自介（MVP版本權重分別10/10/20/20/10/10/10/10）
4. b=0.2 (可調）</t>
    <phoneticPr fontId="1" type="noConversion"/>
  </si>
  <si>
    <t>找房推薦</t>
    <phoneticPr fontId="1" type="noConversion"/>
  </si>
  <si>
    <t>User_score_weight
Similarity_weight
Listing Score</t>
    <phoneticPr fontId="1" type="noConversion"/>
  </si>
  <si>
    <t>『User_score』
1. 未來權重值可調整
2. 目前MVP版本的User_score_weight每個欄位權重相同
3. 考量欄位有：順位一～順位十三
『Similarity_weight』
1. 未來權重值可調整
2. 目前MVP版本的Similarity_weight權重遞減
3. 考量欄位有：順位一～順位十三（MVP版本權重，排除硬條件篩選以使用的欄位後，勝於欄位分別以30/20/10/10/10/10..的權重計算）
『Listing Score』
負面回饋：α=懲罰強度，目前設定0.1
上架天數：λ =衰減率參數，控制分數衰減得有多快 ，目前設定0.1，
成交狀態：591類房源URL判斷（若URL比對不到則視為下架）、FB資料經過一個月就下架（FB是使用”po文創建時間“）</t>
    <phoneticPr fontId="1" type="noConversion"/>
  </si>
  <si>
    <t>個人主頁</t>
    <phoneticPr fontId="1" type="noConversion"/>
  </si>
  <si>
    <t>刪除帳號</t>
    <phoneticPr fontId="1" type="noConversion"/>
  </si>
  <si>
    <t>重置帳號</t>
    <phoneticPr fontId="1" type="noConversion"/>
  </si>
  <si>
    <t>邏輯</t>
    <phoneticPr fontId="1" type="noConversion"/>
  </si>
  <si>
    <t>軟性刪除此ID包括Email，讓使用者重新註冊</t>
    <phoneticPr fontId="1" type="noConversion"/>
  </si>
  <si>
    <t>1. 回到登入頁面的profile(狀態及畫面）
2. 過去的文章皆軟性刪除
3. 重置者與其他人的對話視窗皆清空；其他人視角的對話內容呈現「沒有用戶」歷史對話保留(參考line封鎖刪除模式)，並且在瀑布牆上也看不到過去的貼文</t>
    <phoneticPr fontId="1" type="noConversion"/>
  </si>
  <si>
    <r>
      <t>左滑，後台註記此object不再被演算推薦給該</t>
    </r>
    <r>
      <rPr>
        <b/>
        <sz val="12"/>
        <color rgb="FFFF0000"/>
        <rFont val="新細明體"/>
        <family val="1"/>
        <charset val="136"/>
      </rPr>
      <t>使用者（還是不推給這個需求？和Josh討論）</t>
    </r>
    <r>
      <rPr>
        <sz val="12"/>
        <color theme="1"/>
        <rFont val="新細明體"/>
        <family val="2"/>
        <charset val="136"/>
        <scheme val="minor"/>
      </rPr>
      <t>，但不影響已經被創建的看房筆記；右滑建立筆記</t>
    </r>
    <phoneticPr fontId="1" type="noConversion"/>
  </si>
  <si>
    <t>手機驗證</t>
    <phoneticPr fontId="1" type="noConversion"/>
  </si>
  <si>
    <t>該手機已經被驗證過＋非使用者此信箱，則跳出警示訊息『此手機已經被使用』</t>
    <phoneticPr fontId="1" type="noConversion"/>
  </si>
  <si>
    <t>關閉聊聊就不能被打擾：沒有聊聊按鈕＋不參與推薦（不讓人建立對話筐），只出現在瀑布牆
手機驗證影響=&gt;聊聊按鈕是否開啟（使用者的需求單可以選擇是否開啟這個功能）
若使用者決定重啟聊聊，系統需檢查此id是否有已經驗證的手機</t>
    <phoneticPr fontId="1" type="noConversion"/>
  </si>
  <si>
    <t>Dn</t>
    <phoneticPr fontId="1" type="noConversion"/>
  </si>
  <si>
    <t>ID_Gender</t>
    <phoneticPr fontId="1" type="noConversion"/>
  </si>
  <si>
    <t>Male</t>
    <phoneticPr fontId="1" type="noConversion"/>
  </si>
  <si>
    <t>Female</t>
    <phoneticPr fontId="1" type="noConversion"/>
  </si>
  <si>
    <t>Location1</t>
    <phoneticPr fontId="1" type="noConversion"/>
  </si>
  <si>
    <t>Location2</t>
    <phoneticPr fontId="1" type="noConversion"/>
  </si>
  <si>
    <t>Location3</t>
    <phoneticPr fontId="1" type="noConversion"/>
  </si>
  <si>
    <t>Gender</t>
    <phoneticPr fontId="1" type="noConversion"/>
  </si>
  <si>
    <t>Both</t>
    <phoneticPr fontId="1" type="noConversion"/>
  </si>
  <si>
    <t>第一層</t>
    <phoneticPr fontId="1" type="noConversion"/>
  </si>
  <si>
    <t>第二層</t>
    <phoneticPr fontId="1" type="noConversion"/>
  </si>
  <si>
    <t>cosine_similarity(u,v)= u⋅v​ / ∥u∥∥v∥</t>
    <phoneticPr fontId="1" type="noConversion"/>
  </si>
  <si>
    <t>u⋅v：內積（每個元素相乘再加總）</t>
  </si>
  <si>
    <t>前端填寫資料</t>
    <phoneticPr fontId="1" type="noConversion"/>
  </si>
  <si>
    <t>打掃</t>
  </si>
  <si>
    <t>帶朋友</t>
  </si>
  <si>
    <t>寵物</t>
  </si>
  <si>
    <t>作息</t>
  </si>
  <si>
    <t>室友互動</t>
  </si>
  <si>
    <r>
      <t xml:space="preserve">計算 </t>
    </r>
    <r>
      <rPr>
        <sz val="10"/>
        <color theme="1"/>
        <rFont val="Arial Unicode MS"/>
        <family val="2"/>
      </rPr>
      <t>cosine_similarity(u, v)</t>
    </r>
    <r>
      <rPr>
        <sz val="12"/>
        <color theme="1"/>
        <rFont val="新細明體"/>
        <family val="2"/>
        <charset val="136"/>
        <scheme val="minor"/>
      </rPr>
      <t xml:space="preserve"> 來量化兩個人五個偏好的相似程度。</t>
    </r>
    <phoneticPr fontId="1" type="noConversion"/>
  </si>
  <si>
    <t>Step 3: 計算 ∥v∥</t>
    <phoneticPr fontId="1" type="noConversion"/>
  </si>
  <si>
    <t>Step 2: 計算 ∥u∥ →  (每一個值平方相加開根號）</t>
    <phoneticPr fontId="1" type="noConversion"/>
  </si>
  <si>
    <t>系統推薦時會先推薦D2再來才是D3</t>
    <phoneticPr fontId="1" type="noConversion"/>
  </si>
  <si>
    <t>*性別是雙向篩選</t>
    <phoneticPr fontId="1" type="noConversion"/>
  </si>
  <si>
    <r>
      <t>第二層（相似度排序）</t>
    </r>
    <r>
      <rPr>
        <sz val="12"/>
        <color theme="1"/>
        <rFont val="新細明體"/>
        <family val="2"/>
        <charset val="136"/>
        <scheme val="minor"/>
      </rPr>
      <t>：從所有「相容的分群」合併出候選集</t>
    </r>
    <r>
      <rPr>
        <sz val="12"/>
        <color theme="2"/>
        <rFont val="新細明體"/>
        <family val="1"/>
        <charset val="136"/>
      </rPr>
      <t>（去重）</t>
    </r>
    <r>
      <rPr>
        <sz val="12"/>
        <color theme="1"/>
        <rFont val="新細明體"/>
        <family val="2"/>
        <charset val="136"/>
        <scheme val="minor"/>
      </rPr>
      <t xml:space="preserve">，計算五維向量的 </t>
    </r>
    <r>
      <rPr>
        <sz val="12"/>
        <color theme="1"/>
        <rFont val="新細明體"/>
        <family val="1"/>
        <charset val="136"/>
        <scheme val="minor"/>
      </rPr>
      <t>cosine similarity</t>
    </r>
    <r>
      <rPr>
        <sz val="12"/>
        <color theme="1"/>
        <rFont val="新細明體"/>
        <family val="2"/>
        <charset val="136"/>
        <scheme val="minor"/>
      </rPr>
      <t>，由高到低排序。</t>
    </r>
    <phoneticPr fontId="1" type="noConversion"/>
  </si>
  <si>
    <t>公共空間打掃標準</t>
  </si>
  <si>
    <t>帶朋友回家的容忍</t>
  </si>
  <si>
    <t>對寵物的態度</t>
  </si>
  <si>
    <t>與室友互動傾向</t>
  </si>
  <si>
    <t xml:space="preserve">∥u∥：向量 u 的長度 = </t>
    <phoneticPr fontId="1" type="noConversion"/>
  </si>
  <si>
    <t>∥v∥：向量 v 的長度</t>
    <phoneticPr fontId="1" type="noConversion"/>
  </si>
  <si>
    <t>5 訊息告知</t>
    <phoneticPr fontId="1" type="noConversion"/>
  </si>
  <si>
    <t>56 都可以配合</t>
    <phoneticPr fontId="1" type="noConversion"/>
  </si>
  <si>
    <r>
      <t>第一層（硬條件分群）</t>
    </r>
    <r>
      <rPr>
        <sz val="12"/>
        <color theme="1"/>
        <rFont val="新細明體"/>
        <family val="2"/>
        <charset val="136"/>
        <scheme val="minor"/>
      </rPr>
      <t>：以「</t>
    </r>
    <r>
      <rPr>
        <sz val="12"/>
        <color theme="1"/>
        <rFont val="新細明體"/>
        <family val="1"/>
        <charset val="136"/>
        <scheme val="minor"/>
      </rPr>
      <t>室友性別</t>
    </r>
    <r>
      <rPr>
        <sz val="12"/>
        <color theme="1"/>
        <rFont val="新細明體"/>
        <family val="2"/>
        <charset val="136"/>
        <scheme val="minor"/>
      </rPr>
      <t>」、「</t>
    </r>
    <r>
      <rPr>
        <sz val="12"/>
        <color theme="1"/>
        <rFont val="新細明體"/>
        <family val="1"/>
        <charset val="136"/>
        <scheme val="minor"/>
      </rPr>
      <t>地區</t>
    </r>
    <r>
      <rPr>
        <sz val="12"/>
        <color theme="1"/>
        <rFont val="新細明體"/>
        <family val="2"/>
        <charset val="136"/>
        <scheme val="minor"/>
      </rPr>
      <t>」把資料切成多個「性別×地區」分群；新需求會落在多個分群中（因為可選 3 地區）。</t>
    </r>
    <phoneticPr fontId="1" type="noConversion"/>
  </si>
  <si>
    <t>沒有填寫的時候，系統默認值</t>
    <phoneticPr fontId="1" type="noConversion"/>
  </si>
  <si>
    <r>
      <t>1：很</t>
    </r>
    <r>
      <rPr>
        <b/>
        <sz val="12"/>
        <color theme="1"/>
        <rFont val="新細明體"/>
        <family val="1"/>
        <charset val="136"/>
        <scheme val="minor"/>
      </rPr>
      <t>隨性</t>
    </r>
    <r>
      <rPr>
        <sz val="12"/>
        <color theme="1"/>
        <rFont val="新細明體"/>
        <family val="2"/>
        <charset val="136"/>
        <scheme val="minor"/>
      </rPr>
      <t>，沒有固定掃地時間</t>
    </r>
    <phoneticPr fontId="1" type="noConversion"/>
  </si>
  <si>
    <r>
      <t>2：髒了再掃，頻率約</t>
    </r>
    <r>
      <rPr>
        <b/>
        <sz val="12"/>
        <color theme="1"/>
        <rFont val="新細明體"/>
        <family val="1"/>
        <charset val="136"/>
        <scheme val="minor"/>
      </rPr>
      <t>兩到三週一次</t>
    </r>
    <phoneticPr fontId="1" type="noConversion"/>
  </si>
  <si>
    <r>
      <t>4：定期打掃，頻率約</t>
    </r>
    <r>
      <rPr>
        <b/>
        <sz val="12"/>
        <color theme="1"/>
        <rFont val="新細明體"/>
        <family val="1"/>
        <charset val="136"/>
        <scheme val="minor"/>
      </rPr>
      <t>一週一次</t>
    </r>
    <phoneticPr fontId="1" type="noConversion"/>
  </si>
  <si>
    <r>
      <t>5：看到</t>
    </r>
    <r>
      <rPr>
        <b/>
        <sz val="12"/>
        <color theme="1"/>
        <rFont val="新細明體"/>
        <family val="1"/>
        <charset val="136"/>
        <scheme val="minor"/>
      </rPr>
      <t>髒就立刻掃</t>
    </r>
    <phoneticPr fontId="1" type="noConversion"/>
  </si>
  <si>
    <r>
      <t>1：完全</t>
    </r>
    <r>
      <rPr>
        <b/>
        <sz val="12"/>
        <color theme="1"/>
        <rFont val="新細明體"/>
        <family val="1"/>
        <charset val="136"/>
        <scheme val="minor"/>
      </rPr>
      <t>不希望帶人</t>
    </r>
    <r>
      <rPr>
        <sz val="12"/>
        <color theme="1"/>
        <rFont val="新細明體"/>
        <family val="2"/>
        <charset val="136"/>
        <scheme val="minor"/>
      </rPr>
      <t>回家</t>
    </r>
    <phoneticPr fontId="1" type="noConversion"/>
  </si>
  <si>
    <r>
      <t>1：完全</t>
    </r>
    <r>
      <rPr>
        <b/>
        <sz val="12"/>
        <color theme="1"/>
        <rFont val="新細明體"/>
        <family val="1"/>
        <charset val="136"/>
        <scheme val="minor"/>
      </rPr>
      <t>不能接受</t>
    </r>
    <r>
      <rPr>
        <sz val="12"/>
        <color theme="1"/>
        <rFont val="新細明體"/>
        <family val="2"/>
        <charset val="136"/>
        <scheme val="minor"/>
      </rPr>
      <t>任何寵物</t>
    </r>
    <phoneticPr fontId="1" type="noConversion"/>
  </si>
  <si>
    <r>
      <t>2：</t>
    </r>
    <r>
      <rPr>
        <b/>
        <sz val="12"/>
        <color theme="1"/>
        <rFont val="新細明體"/>
        <family val="1"/>
        <charset val="136"/>
        <scheme val="minor"/>
      </rPr>
      <t>勉強接受</t>
    </r>
    <r>
      <rPr>
        <sz val="12"/>
        <color theme="1"/>
        <rFont val="新細明體"/>
        <family val="2"/>
        <charset val="136"/>
        <scheme val="minor"/>
      </rPr>
      <t>，但希望寵物不在公共區域出現</t>
    </r>
    <phoneticPr fontId="1" type="noConversion"/>
  </si>
  <si>
    <r>
      <t>4：偏</t>
    </r>
    <r>
      <rPr>
        <b/>
        <sz val="12"/>
        <color theme="1"/>
        <rFont val="新細明體"/>
        <family val="1"/>
        <charset val="136"/>
        <scheme val="minor"/>
      </rPr>
      <t>晚睡晚起</t>
    </r>
    <r>
      <rPr>
        <sz val="12"/>
        <color theme="1"/>
        <rFont val="新細明體"/>
        <family val="2"/>
        <charset val="136"/>
        <scheme val="minor"/>
      </rPr>
      <t>（例如凌晨 1–2 點睡，9–10 點起）</t>
    </r>
    <phoneticPr fontId="1" type="noConversion"/>
  </si>
  <si>
    <r>
      <t>5：極度</t>
    </r>
    <r>
      <rPr>
        <b/>
        <sz val="12"/>
        <color theme="1"/>
        <rFont val="新細明體"/>
        <family val="1"/>
        <charset val="136"/>
        <scheme val="minor"/>
      </rPr>
      <t>夜貓</t>
    </r>
    <r>
      <rPr>
        <sz val="12"/>
        <color theme="1"/>
        <rFont val="新細明體"/>
        <family val="2"/>
        <charset val="136"/>
        <scheme val="minor"/>
      </rPr>
      <t>（常熬夜到凌晨 3 點以後才睡）</t>
    </r>
    <phoneticPr fontId="1" type="noConversion"/>
  </si>
  <si>
    <r>
      <t>3：偶爾聊天，</t>
    </r>
    <r>
      <rPr>
        <b/>
        <sz val="12"/>
        <color theme="1"/>
        <rFont val="新細明體"/>
        <family val="1"/>
        <charset val="136"/>
        <scheme val="minor"/>
      </rPr>
      <t>適度交流</t>
    </r>
    <phoneticPr fontId="1" type="noConversion"/>
  </si>
  <si>
    <r>
      <t>4：</t>
    </r>
    <r>
      <rPr>
        <b/>
        <sz val="12"/>
        <color theme="1"/>
        <rFont val="新細明體"/>
        <family val="1"/>
        <charset val="136"/>
        <scheme val="minor"/>
      </rPr>
      <t>常一起活動</t>
    </r>
    <r>
      <rPr>
        <sz val="12"/>
        <color theme="1"/>
        <rFont val="新細明體"/>
        <family val="2"/>
        <charset val="136"/>
        <scheme val="minor"/>
      </rPr>
      <t>，關係不錯</t>
    </r>
    <phoneticPr fontId="1" type="noConversion"/>
  </si>
  <si>
    <r>
      <t>5：</t>
    </r>
    <r>
      <rPr>
        <b/>
        <sz val="12"/>
        <color theme="1"/>
        <rFont val="新細明體"/>
        <family val="1"/>
        <charset val="136"/>
        <scheme val="minor"/>
      </rPr>
      <t>非常熱絡</t>
    </r>
    <r>
      <rPr>
        <sz val="12"/>
        <color theme="1"/>
        <rFont val="新細明體"/>
        <family val="2"/>
        <charset val="136"/>
        <scheme val="minor"/>
      </rPr>
      <t>，像朋友或家人般互動</t>
    </r>
    <phoneticPr fontId="1" type="noConversion"/>
  </si>
  <si>
    <t>第一階段不設定「適合閥值」，第一層過了之後，第二層算出Cosine_Similarity分數，從高到低推送</t>
    <phoneticPr fontId="1" type="noConversion"/>
  </si>
  <si>
    <t>左滑，後台註記此object不再被演算推薦給該使用者，但不影響已經被創建的對話視窗；右滑建立對話筐</t>
    <phoneticPr fontId="1" type="noConversion"/>
  </si>
  <si>
    <t>初始值設定4筆</t>
    <phoneticPr fontId="1" type="noConversion"/>
  </si>
  <si>
    <t>初始值設定6筆</t>
    <phoneticPr fontId="1" type="noConversion"/>
  </si>
  <si>
    <r>
      <t>1)第一層段硬條件篩出０個需求（=他自己是新的一群，極有可能是新的地區）：只篩性別後，就開始計算Cosine_Similarity，並由高到低推薦給他</t>
    </r>
    <r>
      <rPr>
        <sz val="12"/>
        <color rgb="FFFF0000"/>
        <rFont val="新細明體"/>
        <family val="1"/>
        <charset val="136"/>
      </rPr>
      <t>（確認是否有算力問題！！）</t>
    </r>
    <phoneticPr fontId="1" type="noConversion"/>
  </si>
  <si>
    <t>＊地區之間的關係（譬如中山區旁邊就是中正區）第二階段再來建立，並apply進演算中</t>
    <phoneticPr fontId="1" type="noConversion"/>
  </si>
  <si>
    <t>2)進入第二層段的需求不夠（極有可能是此需求所在的群是較為冷門的地區）：不足額的部分同上邏輯</t>
    <phoneticPr fontId="1" type="noConversion"/>
  </si>
  <si>
    <t>＊流程調整：一進系統的時候只讓使用者選擇男（藍）/女（粉）的性別頭貼，用於推薦邏輯第一層計算</t>
    <phoneticPr fontId="1" type="noConversion"/>
  </si>
  <si>
    <t>1 →「有髒了再掃」… 5 →「看到髒就立刻掃」</t>
    <phoneticPr fontId="1" type="noConversion"/>
  </si>
  <si>
    <t>1 →「不要帶人」… 5 →「隨時可帶人」</t>
    <phoneticPr fontId="1" type="noConversion"/>
  </si>
  <si>
    <t>1 →「不能接受」… 5 →「自己有寵物且非常 OK」</t>
    <phoneticPr fontId="1" type="noConversion"/>
  </si>
  <si>
    <t>1 →「極度早睡早起」… 5 →「極度夜貓」</t>
    <phoneticPr fontId="1" type="noConversion"/>
  </si>
  <si>
    <t>1 →「各自安好」… 5 →「熱絡型」</t>
    <phoneticPr fontId="1" type="noConversion"/>
  </si>
  <si>
    <r>
      <t>3：自己沒有特定習慣，但願意</t>
    </r>
    <r>
      <rPr>
        <b/>
        <sz val="12"/>
        <color theme="1"/>
        <rFont val="新細明體"/>
        <family val="1"/>
        <charset val="136"/>
        <scheme val="minor"/>
      </rPr>
      <t>遵守公約</t>
    </r>
    <phoneticPr fontId="1" type="noConversion"/>
  </si>
  <si>
    <r>
      <t>2：偶爾可以，但要</t>
    </r>
    <r>
      <rPr>
        <b/>
        <sz val="12"/>
        <color theme="1"/>
        <rFont val="新細明體"/>
        <family val="1"/>
        <charset val="136"/>
        <scheme val="minor"/>
      </rPr>
      <t>先講一聲</t>
    </r>
    <phoneticPr fontId="1" type="noConversion"/>
  </si>
  <si>
    <r>
      <t>3：OK，只要</t>
    </r>
    <r>
      <rPr>
        <b/>
        <sz val="12"/>
        <color theme="1"/>
        <rFont val="新細明體"/>
        <family val="1"/>
        <charset val="136"/>
        <scheme val="minor"/>
      </rPr>
      <t>互相尊重就好</t>
    </r>
    <phoneticPr fontId="1" type="noConversion"/>
  </si>
  <si>
    <r>
      <t>4：常常可以帶人，只要</t>
    </r>
    <r>
      <rPr>
        <b/>
        <sz val="12"/>
        <color theme="1"/>
        <rFont val="新細明體"/>
        <family val="1"/>
        <charset val="136"/>
        <scheme val="minor"/>
      </rPr>
      <t>簡單說一下</t>
    </r>
    <phoneticPr fontId="1" type="noConversion"/>
  </si>
  <si>
    <r>
      <t>5：沒限制，</t>
    </r>
    <r>
      <rPr>
        <b/>
        <sz val="12"/>
        <color theme="1"/>
        <rFont val="新細明體"/>
        <family val="1"/>
        <charset val="136"/>
        <scheme val="minor"/>
      </rPr>
      <t>隨時都能帶</t>
    </r>
    <phoneticPr fontId="1" type="noConversion"/>
  </si>
  <si>
    <r>
      <t>3：</t>
    </r>
    <r>
      <rPr>
        <b/>
        <sz val="12"/>
        <color theme="1"/>
        <rFont val="新細明體"/>
        <family val="1"/>
        <charset val="136"/>
        <scheme val="minor"/>
      </rPr>
      <t>OK</t>
    </r>
    <r>
      <rPr>
        <sz val="12"/>
        <color theme="1"/>
        <rFont val="新細明體"/>
        <family val="2"/>
        <charset val="136"/>
        <scheme val="minor"/>
      </rPr>
      <t>，只要有清潔、安靜的規範就好</t>
    </r>
    <phoneticPr fontId="1" type="noConversion"/>
  </si>
  <si>
    <r>
      <t>4：</t>
    </r>
    <r>
      <rPr>
        <b/>
        <sz val="12"/>
        <color theme="1"/>
        <rFont val="新細明體"/>
        <family val="1"/>
        <charset val="136"/>
        <scheme val="minor"/>
      </rPr>
      <t>喜歡寵物</t>
    </r>
    <r>
      <rPr>
        <sz val="12"/>
        <color theme="1"/>
        <rFont val="新細明體"/>
        <family val="2"/>
        <charset val="136"/>
        <scheme val="minor"/>
      </rPr>
      <t>，有貓狗很好</t>
    </r>
    <phoneticPr fontId="1" type="noConversion"/>
  </si>
  <si>
    <t>寵物多一個check box「我自己有寵物！」</t>
    <phoneticPr fontId="1" type="noConversion"/>
  </si>
  <si>
    <r>
      <t>5：</t>
    </r>
    <r>
      <rPr>
        <sz val="12"/>
        <color theme="1"/>
        <rFont val="新細明體"/>
        <family val="1"/>
        <charset val="136"/>
        <scheme val="minor"/>
      </rPr>
      <t>超愛動物，</t>
    </r>
    <r>
      <rPr>
        <b/>
        <sz val="12"/>
        <color theme="1"/>
        <rFont val="新細明體"/>
        <family val="1"/>
        <charset val="136"/>
        <scheme val="minor"/>
      </rPr>
      <t>完全沒問題</t>
    </r>
    <phoneticPr fontId="1" type="noConversion"/>
  </si>
  <si>
    <r>
      <t>1：極度</t>
    </r>
    <r>
      <rPr>
        <b/>
        <sz val="12"/>
        <color theme="1"/>
        <rFont val="新細明體"/>
        <family val="1"/>
        <charset val="136"/>
        <scheme val="minor"/>
      </rPr>
      <t>早睡早起</t>
    </r>
    <r>
      <rPr>
        <sz val="12"/>
        <color theme="1"/>
        <rFont val="新細明體"/>
        <family val="2"/>
        <charset val="136"/>
        <scheme val="minor"/>
      </rPr>
      <t>（約 9 點睡、5 點起）</t>
    </r>
    <phoneticPr fontId="1" type="noConversion"/>
  </si>
  <si>
    <r>
      <t>2：偏</t>
    </r>
    <r>
      <rPr>
        <b/>
        <sz val="12"/>
        <color theme="1"/>
        <rFont val="新細明體"/>
        <family val="1"/>
        <charset val="136"/>
        <scheme val="minor"/>
      </rPr>
      <t>早睡早起</t>
    </r>
    <r>
      <rPr>
        <sz val="12"/>
        <color theme="1"/>
        <rFont val="新細明體"/>
        <family val="2"/>
        <charset val="136"/>
        <scheme val="minor"/>
      </rPr>
      <t>（約 11 點前睡，7 點左右起）</t>
    </r>
    <phoneticPr fontId="1" type="noConversion"/>
  </si>
  <si>
    <r>
      <t>3：</t>
    </r>
    <r>
      <rPr>
        <b/>
        <sz val="12"/>
        <color theme="1"/>
        <rFont val="新細明體"/>
        <family val="1"/>
        <charset val="136"/>
        <scheme val="minor"/>
      </rPr>
      <t>正常作息</t>
    </r>
    <r>
      <rPr>
        <sz val="12"/>
        <color theme="1"/>
        <rFont val="新細明體"/>
        <family val="1"/>
        <charset val="136"/>
        <scheme val="minor"/>
      </rPr>
      <t>，不特別早也不算晚</t>
    </r>
    <phoneticPr fontId="1" type="noConversion"/>
  </si>
  <si>
    <r>
      <t>1：</t>
    </r>
    <r>
      <rPr>
        <b/>
        <sz val="12"/>
        <color theme="1"/>
        <rFont val="新細明體"/>
        <family val="1"/>
        <charset val="136"/>
        <scheme val="minor"/>
      </rPr>
      <t>互不打擾</t>
    </r>
    <r>
      <rPr>
        <sz val="12"/>
        <color theme="1"/>
        <rFont val="新細明體"/>
        <family val="1"/>
        <charset val="136"/>
        <scheme val="minor"/>
      </rPr>
      <t>，各住各的</t>
    </r>
    <phoneticPr fontId="1" type="noConversion"/>
  </si>
  <si>
    <r>
      <t>2：</t>
    </r>
    <r>
      <rPr>
        <sz val="12"/>
        <color theme="1"/>
        <rFont val="新細明體"/>
        <family val="1"/>
        <charset val="136"/>
        <scheme val="minor"/>
      </rPr>
      <t>有基本禮貌，</t>
    </r>
    <r>
      <rPr>
        <b/>
        <sz val="12"/>
        <color theme="1"/>
        <rFont val="新細明體"/>
        <family val="1"/>
        <charset val="136"/>
        <scheme val="minor"/>
      </rPr>
      <t>見面打招呼就好</t>
    </r>
    <phoneticPr fontId="1" type="noConversion"/>
  </si>
  <si>
    <t>很隨性</t>
  </si>
  <si>
    <t>有潔癖</t>
    <phoneticPr fontId="1" type="noConversion"/>
  </si>
  <si>
    <t>公共空間打掃標準</t>
    <phoneticPr fontId="1" type="noConversion"/>
  </si>
  <si>
    <t>＊第一階段數值不需標準化，第二階段若要加入其他參數需要標準化再做</t>
    <phoneticPr fontId="1" type="noConversion"/>
  </si>
  <si>
    <r>
      <t xml:space="preserve">D2→ </t>
    </r>
    <r>
      <rPr>
        <sz val="10"/>
        <color theme="1"/>
        <rFont val="Arial Unicode MS"/>
        <family val="2"/>
      </rPr>
      <t>u = [2, 5, 4, 3, 1]</t>
    </r>
    <phoneticPr fontId="1" type="noConversion"/>
  </si>
  <si>
    <r>
      <t xml:space="preserve">Dn→ </t>
    </r>
    <r>
      <rPr>
        <sz val="10"/>
        <color theme="1"/>
        <rFont val="Arial Unicode MS"/>
        <family val="2"/>
      </rPr>
      <t>v = [3, 1, 4, 2, 4]</t>
    </r>
    <phoneticPr fontId="1" type="noConversion"/>
  </si>
  <si>
    <r>
      <t>Step 1: 計算內積 u</t>
    </r>
    <r>
      <rPr>
        <sz val="12"/>
        <color theme="1"/>
        <rFont val="Cambria"/>
        <family val="1"/>
        <charset val="136"/>
      </rPr>
      <t>⋅</t>
    </r>
    <r>
      <rPr>
        <sz val="12"/>
        <color theme="1"/>
        <rFont val="PMingLiU"/>
        <family val="1"/>
        <charset val="136"/>
      </rPr>
      <t>v</t>
    </r>
    <r>
      <rPr>
        <sz val="12"/>
        <color theme="1"/>
        <rFont val="新細明體"/>
        <family val="2"/>
        <charset val="136"/>
        <scheme val="minor"/>
      </rPr>
      <t xml:space="preserve">  =2×3+5×2+4×4+3×2+1×4 =6+10+16+6+4=42</t>
    </r>
    <phoneticPr fontId="1" type="noConversion"/>
  </si>
  <si>
    <t>Step 4: 計算出 cosine_similarity (D2, Dn) = 42 / 7.416 x 6.782 = 0.835</t>
    <phoneticPr fontId="1" type="noConversion"/>
  </si>
  <si>
    <t>假設cosine_similarity (D3, Dn) = 0.783</t>
    <phoneticPr fontId="1" type="noConversion"/>
  </si>
  <si>
    <t>思考(回應如下)：閥值設定多少才是「適合」？還是就是從頭排下去？如果不夠（低於幾個）則推薦什麼給他？（按照需求單的編號？）</t>
    <phoneticPr fontId="1" type="noConversion"/>
  </si>
  <si>
    <t>＊第一階段數值只有1-5（配合下一個tab的提示詞）</t>
    <phoneticPr fontId="1" type="noConversion"/>
  </si>
  <si>
    <t>連續性的讓使用者可以滑動1-5</t>
    <phoneticPr fontId="1" type="noConversion"/>
  </si>
  <si>
    <t>＊第二階段再有滑動對應的群體提示詞（ex有80％的人跟你依樣都是正常作息哦）</t>
    <phoneticPr fontId="1" type="noConversion"/>
  </si>
  <si>
    <t>第一層沒有需求符合or最後推薦數不足額</t>
    <phoneticPr fontId="1" type="noConversion"/>
  </si>
  <si>
    <t>＊第一階段：產品開發MVP</t>
    <phoneticPr fontId="1" type="noConversion"/>
  </si>
  <si>
    <t>＊第一層、第二層：指的是上面的演算邏輯</t>
    <phoneticPr fontId="1" type="noConversion"/>
  </si>
  <si>
    <t>推送筆數有調整，第一次推4筆、第二次推6筆</t>
    <phoneticPr fontId="1" type="noConversion"/>
  </si>
  <si>
    <t>＊第一、第二次推薦：指的是寫完第一張需求單和第二次需求單的推薦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</si>
</sst>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24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4"/>
      <name val="新細明體"/>
      <family val="1"/>
      <charset val="136"/>
      <scheme val="minor"/>
    </font>
    <font>
      <b/>
      <sz val="12"/>
      <color theme="9"/>
      <name val="新細明體"/>
      <family val="1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b/>
      <sz val="12"/>
      <name val="新細明體"/>
      <family val="1"/>
      <charset val="136"/>
      <scheme val="minor"/>
    </font>
    <font>
      <b/>
      <sz val="12"/>
      <color rgb="FFC00000"/>
      <name val="新細明體"/>
      <family val="1"/>
      <charset val="136"/>
      <scheme val="minor"/>
    </font>
    <font>
      <b/>
      <sz val="12"/>
      <color rgb="FF7030A0"/>
      <name val="新細明體"/>
      <family val="1"/>
      <charset val="136"/>
      <scheme val="minor"/>
    </font>
    <font>
      <sz val="12"/>
      <color rgb="FFFF0000"/>
      <name val="新細明體"/>
      <family val="1"/>
      <charset val="136"/>
    </font>
    <font>
      <b/>
      <sz val="12"/>
      <color rgb="FFFF0000"/>
      <name val="新細明體"/>
      <family val="1"/>
      <charset val="136"/>
    </font>
    <font>
      <sz val="12"/>
      <color rgb="FFFF0000"/>
      <name val="新細明體"/>
      <family val="2"/>
      <charset val="136"/>
      <scheme val="minor"/>
    </font>
    <font>
      <sz val="12"/>
      <color theme="7" tint="-0.249977111117893"/>
      <name val="新細明體"/>
      <family val="1"/>
      <charset val="136"/>
      <scheme val="minor"/>
    </font>
    <font>
      <sz val="12"/>
      <color theme="7" tint="-0.249977111117893"/>
      <name val="新細明體"/>
      <family val="2"/>
      <charset val="136"/>
      <scheme val="minor"/>
    </font>
    <font>
      <sz val="12"/>
      <color theme="2"/>
      <name val="新細明體"/>
      <family val="2"/>
      <charset val="136"/>
      <scheme val="minor"/>
    </font>
    <font>
      <sz val="12"/>
      <color theme="2"/>
      <name val="新細明體"/>
      <family val="1"/>
      <charset val="136"/>
      <scheme val="minor"/>
    </font>
    <font>
      <sz val="12"/>
      <name val="新細明體"/>
      <family val="1"/>
      <charset val="136"/>
      <scheme val="minor"/>
    </font>
    <font>
      <sz val="12"/>
      <color theme="1"/>
      <name val="Cambria"/>
      <family val="1"/>
      <charset val="136"/>
    </font>
    <font>
      <sz val="12"/>
      <color theme="1"/>
      <name val="PMingLiU"/>
      <family val="1"/>
      <charset val="136"/>
    </font>
    <font>
      <sz val="10"/>
      <color theme="1"/>
      <name val="Arial Unicode MS"/>
      <family val="2"/>
    </font>
    <font>
      <sz val="12"/>
      <color theme="2"/>
      <name val="新細明體"/>
      <family val="1"/>
      <charset val="136"/>
    </font>
    <font>
      <b/>
      <sz val="13.5"/>
      <color theme="1"/>
      <name val="新細明體"/>
      <family val="1"/>
      <charset val="136"/>
      <scheme val="minor"/>
    </font>
    <font>
      <sz val="12"/>
      <name val="新細明體"/>
      <family val="1"/>
      <charset val="136"/>
    </font>
    <font>
      <sz val="12"/>
      <color rgb="FFFF0000"/>
      <name val="新細明體"/>
      <family val="1"/>
      <charset val="136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10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9" fontId="0" fillId="0" borderId="1" xfId="0" applyNumberFormat="1" applyBorder="1" applyAlignment="1">
      <alignment horizontal="left" vertical="center"/>
    </xf>
    <xf numFmtId="9" fontId="0" fillId="0" borderId="0" xfId="0" applyNumberFormat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2" borderId="0" xfId="0" applyFill="1" applyAlignment="1">
      <alignment horizontal="left" vertical="center"/>
    </xf>
    <xf numFmtId="9" fontId="0" fillId="2" borderId="1" xfId="0" applyNumberFormat="1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9" fontId="0" fillId="3" borderId="1" xfId="0" applyNumberFormat="1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9" fontId="2" fillId="0" borderId="0" xfId="0" applyNumberFormat="1" applyFont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9" fontId="2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9" fontId="3" fillId="0" borderId="1" xfId="0" applyNumberFormat="1" applyFont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9" fontId="3" fillId="0" borderId="0" xfId="0" applyNumberFormat="1" applyFont="1" applyAlignment="1">
      <alignment horizontal="left" vertical="center"/>
    </xf>
    <xf numFmtId="0" fontId="0" fillId="0" borderId="0" xfId="0" quotePrefix="1" applyAlignment="1">
      <alignment horizontal="left" vertical="center"/>
    </xf>
    <xf numFmtId="0" fontId="0" fillId="4" borderId="0" xfId="0" applyFill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0" fillId="5" borderId="0" xfId="0" applyFill="1" applyAlignment="1">
      <alignment horizontal="left" vertical="center"/>
    </xf>
    <xf numFmtId="0" fontId="2" fillId="5" borderId="0" xfId="0" applyFont="1" applyFill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4" fillId="5" borderId="0" xfId="0" applyFont="1" applyFill="1" applyAlignment="1">
      <alignment horizontal="left" vertical="center"/>
    </xf>
    <xf numFmtId="0" fontId="3" fillId="5" borderId="0" xfId="0" applyFont="1" applyFill="1" applyAlignment="1">
      <alignment horizontal="left" vertical="center"/>
    </xf>
    <xf numFmtId="0" fontId="0" fillId="6" borderId="0" xfId="0" applyFill="1" applyAlignment="1">
      <alignment horizontal="left" vertical="center"/>
    </xf>
    <xf numFmtId="0" fontId="0" fillId="6" borderId="1" xfId="0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9" fontId="2" fillId="6" borderId="1" xfId="0" applyNumberFormat="1" applyFont="1" applyFill="1" applyBorder="1" applyAlignment="1">
      <alignment horizontal="left" vertical="center"/>
    </xf>
    <xf numFmtId="9" fontId="3" fillId="6" borderId="1" xfId="0" applyNumberFormat="1" applyFont="1" applyFill="1" applyBorder="1" applyAlignment="1">
      <alignment horizontal="left" vertical="center"/>
    </xf>
    <xf numFmtId="0" fontId="2" fillId="6" borderId="0" xfId="0" applyFont="1" applyFill="1" applyAlignment="1">
      <alignment horizontal="left" vertical="center"/>
    </xf>
    <xf numFmtId="9" fontId="2" fillId="6" borderId="0" xfId="0" applyNumberFormat="1" applyFont="1" applyFill="1" applyAlignment="1">
      <alignment horizontal="left" vertical="center"/>
    </xf>
    <xf numFmtId="0" fontId="4" fillId="6" borderId="0" xfId="0" applyFont="1" applyFill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0" fontId="5" fillId="6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9" fontId="3" fillId="6" borderId="0" xfId="0" applyNumberFormat="1" applyFont="1" applyFill="1" applyAlignment="1">
      <alignment horizontal="left" vertical="center"/>
    </xf>
    <xf numFmtId="0" fontId="0" fillId="6" borderId="0" xfId="0" quotePrefix="1" applyFill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9" fontId="7" fillId="0" borderId="1" xfId="0" applyNumberFormat="1" applyFont="1" applyBorder="1" applyAlignment="1">
      <alignment horizontal="left" vertical="center"/>
    </xf>
    <xf numFmtId="9" fontId="7" fillId="0" borderId="0" xfId="0" applyNumberFormat="1" applyFont="1" applyAlignment="1">
      <alignment horizontal="left" vertical="center"/>
    </xf>
    <xf numFmtId="0" fontId="8" fillId="0" borderId="0" xfId="0" applyFont="1">
      <alignment vertical="center"/>
    </xf>
    <xf numFmtId="0" fontId="8" fillId="0" borderId="0" xfId="0" applyFont="1" applyAlignment="1">
      <alignment horizontal="left" vertical="center"/>
    </xf>
    <xf numFmtId="0" fontId="8" fillId="5" borderId="0" xfId="0" applyFont="1" applyFill="1" applyAlignment="1">
      <alignment horizontal="left" vertical="center"/>
    </xf>
    <xf numFmtId="0" fontId="7" fillId="0" borderId="0" xfId="0" quotePrefix="1" applyFont="1" applyAlignment="1">
      <alignment horizontal="left" vertical="center"/>
    </xf>
    <xf numFmtId="9" fontId="4" fillId="2" borderId="1" xfId="0" applyNumberFormat="1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0" fontId="0" fillId="0" borderId="0" xfId="0" applyNumberFormat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9" fontId="0" fillId="5" borderId="0" xfId="0" applyNumberFormat="1" applyFill="1" applyAlignment="1">
      <alignment horizontal="left" vertical="center"/>
    </xf>
    <xf numFmtId="0" fontId="0" fillId="0" borderId="0" xfId="0" applyAlignment="1">
      <alignment vertical="center" wrapText="1"/>
    </xf>
    <xf numFmtId="0" fontId="4" fillId="0" borderId="0" xfId="0" applyFont="1">
      <alignment vertical="center"/>
    </xf>
    <xf numFmtId="176" fontId="4" fillId="7" borderId="1" xfId="0" applyNumberFormat="1" applyFont="1" applyFill="1" applyBorder="1" applyAlignment="1">
      <alignment horizontal="left" vertical="center"/>
    </xf>
    <xf numFmtId="0" fontId="8" fillId="0" borderId="0" xfId="0" applyFont="1" applyAlignment="1">
      <alignment horizontal="right" vertical="center"/>
    </xf>
    <xf numFmtId="0" fontId="11" fillId="0" borderId="0" xfId="0" applyFont="1" applyAlignment="1">
      <alignment vertical="center" wrapText="1"/>
    </xf>
    <xf numFmtId="0" fontId="0" fillId="2" borderId="0" xfId="0" applyFill="1">
      <alignment vertical="center"/>
    </xf>
    <xf numFmtId="0" fontId="12" fillId="0" borderId="0" xfId="0" applyFont="1">
      <alignment vertical="center"/>
    </xf>
    <xf numFmtId="0" fontId="0" fillId="0" borderId="1" xfId="0" applyBorder="1">
      <alignment vertical="center"/>
    </xf>
    <xf numFmtId="0" fontId="13" fillId="0" borderId="1" xfId="0" applyFont="1" applyBorder="1">
      <alignment vertical="center"/>
    </xf>
    <xf numFmtId="0" fontId="12" fillId="0" borderId="1" xfId="0" applyFont="1" applyBorder="1">
      <alignment vertical="center"/>
    </xf>
    <xf numFmtId="0" fontId="14" fillId="0" borderId="1" xfId="0" applyFont="1" applyBorder="1">
      <alignment vertical="center"/>
    </xf>
    <xf numFmtId="0" fontId="15" fillId="0" borderId="1" xfId="0" applyFont="1" applyBorder="1">
      <alignment vertical="center"/>
    </xf>
    <xf numFmtId="0" fontId="16" fillId="0" borderId="1" xfId="0" applyFont="1" applyBorder="1">
      <alignment vertical="center"/>
    </xf>
    <xf numFmtId="0" fontId="13" fillId="0" borderId="1" xfId="0" applyFont="1" applyBorder="1" applyAlignment="1">
      <alignment horizontal="left" vertical="center"/>
    </xf>
    <xf numFmtId="0" fontId="0" fillId="2" borderId="1" xfId="0" applyFill="1" applyBorder="1">
      <alignment vertical="center"/>
    </xf>
    <xf numFmtId="0" fontId="11" fillId="0" borderId="0" xfId="0" applyFont="1">
      <alignment vertical="center"/>
    </xf>
    <xf numFmtId="0" fontId="0" fillId="7" borderId="0" xfId="0" applyFill="1">
      <alignment vertical="center"/>
    </xf>
    <xf numFmtId="0" fontId="0" fillId="7" borderId="1" xfId="0" applyFill="1" applyBorder="1">
      <alignment vertical="center"/>
    </xf>
    <xf numFmtId="0" fontId="5" fillId="0" borderId="0" xfId="0" applyFont="1">
      <alignment vertical="center"/>
    </xf>
    <xf numFmtId="0" fontId="21" fillId="0" borderId="0" xfId="0" applyFont="1">
      <alignment vertical="center"/>
    </xf>
    <xf numFmtId="0" fontId="22" fillId="0" borderId="0" xfId="0" applyFont="1">
      <alignment vertical="center"/>
    </xf>
    <xf numFmtId="0" fontId="23" fillId="0" borderId="0" xfId="0" applyFont="1">
      <alignment vertical="center"/>
    </xf>
    <xf numFmtId="0" fontId="0" fillId="8" borderId="4" xfId="0" applyFill="1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9" borderId="0" xfId="0" applyFill="1">
      <alignment vertical="center"/>
    </xf>
    <xf numFmtId="0" fontId="0" fillId="10" borderId="0" xfId="0" applyFill="1">
      <alignment vertical="center"/>
    </xf>
    <xf numFmtId="0" fontId="4" fillId="0" borderId="8" xfId="0" applyFont="1" applyBorder="1">
      <alignment vertical="center"/>
    </xf>
    <xf numFmtId="0" fontId="4" fillId="0" borderId="9" xfId="0" applyFont="1" applyBorder="1">
      <alignment vertical="center"/>
    </xf>
    <xf numFmtId="0" fontId="0" fillId="0" borderId="10" xfId="0" applyBorder="1">
      <alignment vertical="center"/>
    </xf>
    <xf numFmtId="0" fontId="0" fillId="0" borderId="12" xfId="0" applyBorder="1">
      <alignment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6" borderId="0" xfId="0" applyFont="1" applyFill="1" applyAlignment="1">
      <alignment horizontal="left" vertical="center"/>
    </xf>
    <xf numFmtId="0" fontId="4" fillId="6" borderId="0" xfId="0" applyFont="1" applyFill="1" applyAlignment="1">
      <alignment horizontal="left" vertical="center"/>
    </xf>
    <xf numFmtId="0" fontId="0" fillId="6" borderId="1" xfId="0" applyFill="1" applyBorder="1" applyAlignment="1">
      <alignment horizontal="left" vertical="center"/>
    </xf>
    <xf numFmtId="0" fontId="0" fillId="6" borderId="2" xfId="0" applyFill="1" applyBorder="1" applyAlignment="1">
      <alignment horizontal="left" vertical="center"/>
    </xf>
    <xf numFmtId="0" fontId="0" fillId="6" borderId="3" xfId="0" applyFill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10" borderId="11" xfId="0" applyFill="1" applyBorder="1" applyAlignment="1">
      <alignment horizontal="center" vertical="center"/>
    </xf>
    <xf numFmtId="0" fontId="0" fillId="8" borderId="0" xfId="0" applyFill="1" applyBorder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236939</xdr:colOff>
      <xdr:row>26</xdr:row>
      <xdr:rowOff>174083</xdr:rowOff>
    </xdr:from>
    <xdr:to>
      <xdr:col>4</xdr:col>
      <xdr:colOff>587612</xdr:colOff>
      <xdr:row>28</xdr:row>
      <xdr:rowOff>11111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B9FCDA4D-7CB2-D606-4927-5E2F44CDC0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10596" y="5102441"/>
          <a:ext cx="1175225" cy="216133"/>
        </a:xfrm>
        <a:prstGeom prst="rect">
          <a:avLst/>
        </a:prstGeom>
      </xdr:spPr>
    </xdr:pic>
    <xdr:clientData/>
  </xdr:twoCellAnchor>
  <xdr:twoCellAnchor editAs="oneCell">
    <xdr:from>
      <xdr:col>5</xdr:col>
      <xdr:colOff>20320</xdr:colOff>
      <xdr:row>43</xdr:row>
      <xdr:rowOff>12040</xdr:rowOff>
    </xdr:from>
    <xdr:to>
      <xdr:col>7</xdr:col>
      <xdr:colOff>299720</xdr:colOff>
      <xdr:row>44</xdr:row>
      <xdr:rowOff>68579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B6E1FBFD-26BA-785A-2DD2-154C7A7B19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77360" y="8160360"/>
          <a:ext cx="1925320" cy="2495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E8446-AE93-444E-9158-45673F456D03}">
  <dimension ref="A1:AP100"/>
  <sheetViews>
    <sheetView topLeftCell="A13" zoomScale="85" zoomScaleNormal="113" workbookViewId="0">
      <selection activeCell="D31" sqref="D31:D38"/>
    </sheetView>
  </sheetViews>
  <sheetFormatPr baseColWidth="10" defaultRowHeight="15"/>
  <cols>
    <col min="1" max="1" width="10.83203125" style="1"/>
    <col min="2" max="2" width="13.33203125" style="1" customWidth="1"/>
    <col min="3" max="3" width="22.33203125" style="1" bestFit="1" customWidth="1"/>
    <col min="4" max="16" width="10.83203125" style="1"/>
    <col min="17" max="17" width="13.6640625" style="1" bestFit="1" customWidth="1"/>
    <col min="18" max="18" width="13.6640625" style="1" customWidth="1"/>
    <col min="19" max="20" width="10.83203125" style="1"/>
    <col min="21" max="21" width="0.1640625" style="26" customWidth="1"/>
    <col min="22" max="39" width="10.83203125" style="1"/>
    <col min="40" max="40" width="10.83203125" style="30"/>
    <col min="41" max="16384" width="10.83203125" style="1"/>
  </cols>
  <sheetData>
    <row r="1" spans="1:42">
      <c r="W1" s="35"/>
      <c r="X1" s="35"/>
      <c r="Y1" s="35"/>
      <c r="Z1" s="35"/>
      <c r="AA1" s="35"/>
      <c r="AB1" s="35"/>
      <c r="AC1" s="35"/>
      <c r="AD1" s="35"/>
      <c r="AE1" s="35"/>
    </row>
    <row r="2" spans="1:42">
      <c r="B2" s="2"/>
      <c r="C2" s="2" t="s">
        <v>33</v>
      </c>
      <c r="E2" s="12"/>
      <c r="F2" s="12" t="s">
        <v>85</v>
      </c>
      <c r="H2" s="14"/>
      <c r="I2" s="14" t="s">
        <v>35</v>
      </c>
      <c r="K2" s="54" t="s">
        <v>112</v>
      </c>
      <c r="W2" s="35"/>
      <c r="X2" s="36"/>
      <c r="Y2" s="36" t="s">
        <v>33</v>
      </c>
      <c r="Z2" s="35"/>
      <c r="AA2" s="37"/>
      <c r="AB2" s="37" t="s">
        <v>85</v>
      </c>
      <c r="AC2" s="35"/>
      <c r="AD2" s="38"/>
      <c r="AE2" s="38" t="s">
        <v>35</v>
      </c>
      <c r="AG2" s="50"/>
      <c r="AH2" s="50" t="s">
        <v>103</v>
      </c>
      <c r="AJ2" s="65" t="s">
        <v>165</v>
      </c>
      <c r="AK2" s="54">
        <v>0.2</v>
      </c>
    </row>
    <row r="3" spans="1:42">
      <c r="B3" s="2" t="s">
        <v>24</v>
      </c>
      <c r="C3" s="2" t="s">
        <v>29</v>
      </c>
      <c r="E3" s="12" t="s">
        <v>1</v>
      </c>
      <c r="F3" s="13">
        <v>0.2</v>
      </c>
      <c r="H3" s="14" t="s">
        <v>1</v>
      </c>
      <c r="I3" s="15">
        <v>0.3</v>
      </c>
      <c r="W3" s="35"/>
      <c r="X3" s="36" t="s">
        <v>24</v>
      </c>
      <c r="Y3" s="36" t="s">
        <v>29</v>
      </c>
      <c r="Z3" s="35"/>
      <c r="AA3" s="37" t="s">
        <v>1</v>
      </c>
      <c r="AB3" s="39">
        <v>0.2</v>
      </c>
      <c r="AC3" s="35"/>
      <c r="AD3" s="38" t="s">
        <v>1</v>
      </c>
      <c r="AE3" s="40">
        <v>0.3</v>
      </c>
      <c r="AG3" s="50" t="s">
        <v>90</v>
      </c>
      <c r="AH3" s="51">
        <v>0.1</v>
      </c>
    </row>
    <row r="4" spans="1:42">
      <c r="B4" s="2" t="s">
        <v>26</v>
      </c>
      <c r="C4" s="2" t="s">
        <v>115</v>
      </c>
      <c r="E4" s="12" t="s">
        <v>2</v>
      </c>
      <c r="F4" s="13">
        <v>0.2</v>
      </c>
      <c r="H4" s="14" t="s">
        <v>2</v>
      </c>
      <c r="I4" s="15">
        <v>0.2</v>
      </c>
      <c r="W4" s="35"/>
      <c r="X4" s="36" t="s">
        <v>26</v>
      </c>
      <c r="Y4" s="36" t="s">
        <v>30</v>
      </c>
      <c r="Z4" s="35"/>
      <c r="AA4" s="37" t="s">
        <v>2</v>
      </c>
      <c r="AB4" s="39">
        <v>0.2</v>
      </c>
      <c r="AC4" s="35"/>
      <c r="AD4" s="38" t="s">
        <v>2</v>
      </c>
      <c r="AE4" s="40">
        <v>0.2</v>
      </c>
      <c r="AG4" s="50" t="s">
        <v>91</v>
      </c>
      <c r="AH4" s="51">
        <v>0.1</v>
      </c>
    </row>
    <row r="5" spans="1:42">
      <c r="B5" s="2" t="s">
        <v>27</v>
      </c>
      <c r="C5" s="2" t="s">
        <v>114</v>
      </c>
      <c r="E5" s="12" t="s">
        <v>3</v>
      </c>
      <c r="F5" s="13">
        <v>0.2</v>
      </c>
      <c r="H5" s="14" t="s">
        <v>3</v>
      </c>
      <c r="I5" s="15">
        <v>0.1</v>
      </c>
      <c r="W5" s="35"/>
      <c r="X5" s="36" t="s">
        <v>27</v>
      </c>
      <c r="Y5" s="36" t="s">
        <v>31</v>
      </c>
      <c r="Z5" s="35"/>
      <c r="AA5" s="37" t="s">
        <v>3</v>
      </c>
      <c r="AB5" s="39">
        <v>0.2</v>
      </c>
      <c r="AC5" s="35"/>
      <c r="AD5" s="38" t="s">
        <v>3</v>
      </c>
      <c r="AE5" s="40">
        <v>0.1</v>
      </c>
      <c r="AG5" s="50" t="s">
        <v>92</v>
      </c>
      <c r="AH5" s="51">
        <v>0.2</v>
      </c>
    </row>
    <row r="6" spans="1:42">
      <c r="B6" s="2" t="s">
        <v>28</v>
      </c>
      <c r="C6" s="2" t="s">
        <v>113</v>
      </c>
      <c r="E6" s="12" t="s">
        <v>16</v>
      </c>
      <c r="F6" s="13">
        <v>0.2</v>
      </c>
      <c r="H6" s="14" t="s">
        <v>16</v>
      </c>
      <c r="I6" s="15">
        <v>0.1</v>
      </c>
      <c r="W6" s="35"/>
      <c r="X6" s="36" t="s">
        <v>28</v>
      </c>
      <c r="Y6" s="36" t="s">
        <v>32</v>
      </c>
      <c r="Z6" s="35"/>
      <c r="AA6" s="37" t="s">
        <v>16</v>
      </c>
      <c r="AB6" s="39">
        <v>0.2</v>
      </c>
      <c r="AC6" s="35"/>
      <c r="AD6" s="38" t="s">
        <v>16</v>
      </c>
      <c r="AE6" s="40">
        <v>0.1</v>
      </c>
      <c r="AG6" s="50" t="s">
        <v>104</v>
      </c>
      <c r="AH6" s="51">
        <v>0.2</v>
      </c>
    </row>
    <row r="7" spans="1:42">
      <c r="E7" s="12" t="s">
        <v>17</v>
      </c>
      <c r="F7" s="13">
        <v>0.2</v>
      </c>
      <c r="H7" s="14" t="s">
        <v>17</v>
      </c>
      <c r="I7" s="15">
        <v>0.1</v>
      </c>
      <c r="W7" s="35"/>
      <c r="X7" s="35"/>
      <c r="Y7" s="35"/>
      <c r="Z7" s="35"/>
      <c r="AA7" s="37" t="s">
        <v>17</v>
      </c>
      <c r="AB7" s="39">
        <v>0.2</v>
      </c>
      <c r="AC7" s="35"/>
      <c r="AD7" s="38" t="s">
        <v>17</v>
      </c>
      <c r="AE7" s="40">
        <v>0.1</v>
      </c>
      <c r="AG7" s="50" t="s">
        <v>105</v>
      </c>
      <c r="AH7" s="51">
        <v>0.1</v>
      </c>
    </row>
    <row r="8" spans="1:42">
      <c r="E8" s="10"/>
      <c r="F8" s="11"/>
      <c r="H8" s="23"/>
      <c r="I8" s="24"/>
      <c r="W8" s="35"/>
      <c r="X8" s="35"/>
      <c r="Y8" s="35"/>
      <c r="Z8" s="35"/>
      <c r="AA8" s="41"/>
      <c r="AB8" s="42"/>
      <c r="AC8" s="35"/>
      <c r="AD8" s="47"/>
      <c r="AE8" s="48"/>
      <c r="AG8" s="50" t="s">
        <v>94</v>
      </c>
      <c r="AH8" s="51">
        <v>0.1</v>
      </c>
    </row>
    <row r="9" spans="1:42">
      <c r="A9" s="1" t="s">
        <v>145</v>
      </c>
      <c r="E9" s="10"/>
      <c r="F9" s="11"/>
      <c r="H9" s="23"/>
      <c r="I9" s="24"/>
      <c r="W9" s="35"/>
      <c r="X9" s="35"/>
      <c r="Y9" s="35"/>
      <c r="Z9" s="35"/>
      <c r="AA9" s="41"/>
      <c r="AB9" s="42"/>
      <c r="AC9" s="35"/>
      <c r="AD9" s="47"/>
      <c r="AE9" s="48"/>
      <c r="AG9" s="50" t="s">
        <v>106</v>
      </c>
      <c r="AH9" s="51">
        <v>0.1</v>
      </c>
    </row>
    <row r="10" spans="1:42">
      <c r="W10" s="35"/>
      <c r="X10" s="35"/>
      <c r="Y10" s="35"/>
      <c r="Z10" s="35"/>
      <c r="AA10" s="35"/>
      <c r="AB10" s="35"/>
      <c r="AC10" s="35"/>
      <c r="AD10" s="35"/>
      <c r="AE10" s="35"/>
      <c r="AG10" s="50" t="s">
        <v>96</v>
      </c>
      <c r="AH10" s="51">
        <v>0.1</v>
      </c>
    </row>
    <row r="11" spans="1:42">
      <c r="A11" s="100" t="s">
        <v>61</v>
      </c>
      <c r="B11" s="100"/>
      <c r="W11" s="101" t="s">
        <v>61</v>
      </c>
      <c r="X11" s="101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</row>
    <row r="12" spans="1:42" s="10" customFormat="1">
      <c r="C12" s="11"/>
      <c r="E12" s="11"/>
      <c r="G12" s="11"/>
      <c r="I12" s="11"/>
      <c r="K12" s="11"/>
      <c r="U12" s="27"/>
      <c r="W12" s="41"/>
      <c r="X12" s="41"/>
      <c r="Y12" s="42">
        <v>0.2</v>
      </c>
      <c r="Z12" s="41"/>
      <c r="AA12" s="42">
        <v>0.2</v>
      </c>
      <c r="AB12" s="41"/>
      <c r="AC12" s="42">
        <v>0.2</v>
      </c>
      <c r="AD12" s="41"/>
      <c r="AE12" s="42">
        <v>0.2</v>
      </c>
      <c r="AF12" s="41"/>
      <c r="AG12" s="42">
        <v>0.2</v>
      </c>
      <c r="AH12" s="41"/>
      <c r="AI12" s="41"/>
      <c r="AJ12" s="41"/>
      <c r="AK12" s="41"/>
      <c r="AL12" s="41"/>
      <c r="AN12" s="31"/>
    </row>
    <row r="13" spans="1:42">
      <c r="B13" s="2" t="s">
        <v>0</v>
      </c>
      <c r="C13" s="2" t="s">
        <v>1</v>
      </c>
      <c r="D13" s="2" t="s">
        <v>4</v>
      </c>
      <c r="E13" s="2" t="s">
        <v>2</v>
      </c>
      <c r="F13" s="2" t="s">
        <v>4</v>
      </c>
      <c r="G13" s="2" t="s">
        <v>3</v>
      </c>
      <c r="H13" s="2" t="s">
        <v>4</v>
      </c>
      <c r="I13" s="2" t="s">
        <v>16</v>
      </c>
      <c r="J13" s="2" t="s">
        <v>4</v>
      </c>
      <c r="K13" s="2" t="s">
        <v>17</v>
      </c>
      <c r="L13" s="2" t="s">
        <v>4</v>
      </c>
      <c r="M13" s="2" t="s">
        <v>37</v>
      </c>
      <c r="N13" s="2" t="s">
        <v>38</v>
      </c>
      <c r="O13" s="2" t="s">
        <v>39</v>
      </c>
      <c r="P13" s="2" t="s">
        <v>36</v>
      </c>
      <c r="Q13" s="2" t="s">
        <v>86</v>
      </c>
      <c r="R13" s="2" t="s">
        <v>87</v>
      </c>
      <c r="S13" s="2" t="s">
        <v>23</v>
      </c>
      <c r="W13" s="35"/>
      <c r="X13" s="36" t="s">
        <v>0</v>
      </c>
      <c r="Y13" s="36" t="s">
        <v>1</v>
      </c>
      <c r="Z13" s="36" t="s">
        <v>4</v>
      </c>
      <c r="AA13" s="36" t="s">
        <v>2</v>
      </c>
      <c r="AB13" s="36" t="s">
        <v>4</v>
      </c>
      <c r="AC13" s="36" t="s">
        <v>3</v>
      </c>
      <c r="AD13" s="36" t="s">
        <v>4</v>
      </c>
      <c r="AE13" s="36" t="s">
        <v>16</v>
      </c>
      <c r="AF13" s="36" t="s">
        <v>4</v>
      </c>
      <c r="AG13" s="36" t="s">
        <v>17</v>
      </c>
      <c r="AH13" s="36" t="s">
        <v>4</v>
      </c>
      <c r="AI13" s="36" t="s">
        <v>37</v>
      </c>
      <c r="AJ13" s="36" t="s">
        <v>38</v>
      </c>
      <c r="AK13" s="36" t="s">
        <v>39</v>
      </c>
      <c r="AL13" s="36" t="s">
        <v>36</v>
      </c>
      <c r="AM13" s="2" t="s">
        <v>86</v>
      </c>
      <c r="AN13" s="32" t="s">
        <v>88</v>
      </c>
      <c r="AO13" s="2" t="s">
        <v>87</v>
      </c>
      <c r="AP13" s="2" t="s">
        <v>23</v>
      </c>
    </row>
    <row r="14" spans="1:42">
      <c r="B14" s="2" t="s">
        <v>5</v>
      </c>
      <c r="C14" s="2" t="s">
        <v>18</v>
      </c>
      <c r="D14" s="2"/>
      <c r="E14" s="2" t="s">
        <v>19</v>
      </c>
      <c r="F14" s="2"/>
      <c r="G14" s="2" t="s">
        <v>20</v>
      </c>
      <c r="H14" s="2"/>
      <c r="I14" s="2" t="s">
        <v>21</v>
      </c>
      <c r="J14" s="2"/>
      <c r="K14" s="2" t="s">
        <v>22</v>
      </c>
      <c r="L14" s="2"/>
      <c r="M14" s="2" t="s">
        <v>40</v>
      </c>
      <c r="N14" s="2" t="s">
        <v>41</v>
      </c>
      <c r="O14" s="2" t="s">
        <v>42</v>
      </c>
      <c r="P14" s="2"/>
      <c r="Q14" s="3">
        <v>1</v>
      </c>
      <c r="R14" s="3">
        <v>1</v>
      </c>
      <c r="S14" s="2" t="s">
        <v>24</v>
      </c>
      <c r="W14" s="35"/>
      <c r="X14" s="36" t="s">
        <v>5</v>
      </c>
      <c r="Y14" s="36" t="s">
        <v>18</v>
      </c>
      <c r="Z14" s="36"/>
      <c r="AA14" s="36" t="s">
        <v>19</v>
      </c>
      <c r="AB14" s="36"/>
      <c r="AC14" s="36" t="s">
        <v>20</v>
      </c>
      <c r="AD14" s="36"/>
      <c r="AE14" s="36" t="s">
        <v>21</v>
      </c>
      <c r="AF14" s="36"/>
      <c r="AG14" s="36" t="s">
        <v>22</v>
      </c>
      <c r="AH14" s="36"/>
      <c r="AI14" s="36" t="s">
        <v>40</v>
      </c>
      <c r="AJ14" s="36" t="s">
        <v>41</v>
      </c>
      <c r="AK14" s="36" t="s">
        <v>42</v>
      </c>
      <c r="AL14" s="36"/>
      <c r="AM14" s="3">
        <v>1</v>
      </c>
      <c r="AN14" s="32"/>
      <c r="AO14" s="3">
        <v>1</v>
      </c>
      <c r="AP14" s="2" t="s">
        <v>24</v>
      </c>
    </row>
    <row r="15" spans="1:42">
      <c r="B15" s="2" t="s">
        <v>6</v>
      </c>
      <c r="C15" s="2" t="s">
        <v>19</v>
      </c>
      <c r="D15" s="2"/>
      <c r="E15" s="2" t="s">
        <v>20</v>
      </c>
      <c r="F15" s="2"/>
      <c r="G15" s="2" t="s">
        <v>21</v>
      </c>
      <c r="H15" s="2"/>
      <c r="I15" s="2"/>
      <c r="J15" s="2"/>
      <c r="K15" s="2"/>
      <c r="L15" s="2"/>
      <c r="M15" s="2" t="s">
        <v>43</v>
      </c>
      <c r="N15" s="2" t="s">
        <v>44</v>
      </c>
      <c r="O15" s="2" t="s">
        <v>45</v>
      </c>
      <c r="P15" s="2"/>
      <c r="Q15" s="3">
        <v>0.6</v>
      </c>
      <c r="R15" s="3">
        <v>0.6</v>
      </c>
      <c r="S15" s="2" t="s">
        <v>26</v>
      </c>
      <c r="W15" s="35"/>
      <c r="X15" s="36" t="s">
        <v>6</v>
      </c>
      <c r="Y15" s="36" t="s">
        <v>19</v>
      </c>
      <c r="Z15" s="36"/>
      <c r="AA15" s="36" t="s">
        <v>20</v>
      </c>
      <c r="AB15" s="36"/>
      <c r="AC15" s="36" t="s">
        <v>21</v>
      </c>
      <c r="AD15" s="36"/>
      <c r="AE15" s="36"/>
      <c r="AF15" s="36"/>
      <c r="AG15" s="36"/>
      <c r="AH15" s="36"/>
      <c r="AI15" s="36" t="s">
        <v>43</v>
      </c>
      <c r="AJ15" s="36" t="s">
        <v>44</v>
      </c>
      <c r="AK15" s="36" t="s">
        <v>45</v>
      </c>
      <c r="AL15" s="36"/>
      <c r="AM15" s="3">
        <v>0.6</v>
      </c>
      <c r="AN15" s="32"/>
      <c r="AO15" s="3">
        <v>0.6</v>
      </c>
      <c r="AP15" s="2" t="s">
        <v>26</v>
      </c>
    </row>
    <row r="16" spans="1:42">
      <c r="B16" s="2" t="s">
        <v>7</v>
      </c>
      <c r="C16" s="2" t="s">
        <v>20</v>
      </c>
      <c r="D16" s="2"/>
      <c r="E16" s="2" t="s">
        <v>18</v>
      </c>
      <c r="F16" s="2"/>
      <c r="G16" s="2" t="s">
        <v>19</v>
      </c>
      <c r="H16" s="2"/>
      <c r="I16" s="2"/>
      <c r="J16" s="2"/>
      <c r="K16" s="2"/>
      <c r="L16" s="2"/>
      <c r="M16" s="2" t="s">
        <v>47</v>
      </c>
      <c r="N16" s="2" t="s">
        <v>48</v>
      </c>
      <c r="O16" s="2" t="s">
        <v>49</v>
      </c>
      <c r="P16" s="2"/>
      <c r="Q16" s="3">
        <v>0.6</v>
      </c>
      <c r="R16" s="3">
        <v>0.6</v>
      </c>
      <c r="S16" s="2" t="s">
        <v>26</v>
      </c>
      <c r="W16" s="35"/>
      <c r="X16" s="36" t="s">
        <v>7</v>
      </c>
      <c r="Y16" s="36" t="s">
        <v>20</v>
      </c>
      <c r="Z16" s="36"/>
      <c r="AA16" s="36" t="s">
        <v>18</v>
      </c>
      <c r="AB16" s="36"/>
      <c r="AC16" s="36" t="s">
        <v>19</v>
      </c>
      <c r="AD16" s="36"/>
      <c r="AE16" s="36"/>
      <c r="AF16" s="36"/>
      <c r="AG16" s="36"/>
      <c r="AH16" s="36"/>
      <c r="AI16" s="36" t="s">
        <v>47</v>
      </c>
      <c r="AJ16" s="36" t="s">
        <v>48</v>
      </c>
      <c r="AK16" s="36" t="s">
        <v>49</v>
      </c>
      <c r="AL16" s="36"/>
      <c r="AM16" s="3">
        <v>0.6</v>
      </c>
      <c r="AN16" s="32"/>
      <c r="AO16" s="3">
        <v>0.6</v>
      </c>
      <c r="AP16" s="2" t="s">
        <v>26</v>
      </c>
    </row>
    <row r="17" spans="1:42">
      <c r="B17" s="2" t="s">
        <v>8</v>
      </c>
      <c r="C17" s="2" t="s">
        <v>19</v>
      </c>
      <c r="D17" s="2"/>
      <c r="E17" s="2" t="s">
        <v>21</v>
      </c>
      <c r="F17" s="2"/>
      <c r="G17" s="2" t="s">
        <v>18</v>
      </c>
      <c r="H17" s="2"/>
      <c r="I17" s="2"/>
      <c r="J17" s="2"/>
      <c r="K17" s="2"/>
      <c r="L17" s="2"/>
      <c r="M17" s="2" t="s">
        <v>50</v>
      </c>
      <c r="N17" s="2" t="s">
        <v>52</v>
      </c>
      <c r="O17" s="2" t="s">
        <v>53</v>
      </c>
      <c r="P17" s="2"/>
      <c r="Q17" s="3">
        <v>0.6</v>
      </c>
      <c r="R17" s="3">
        <v>0.6</v>
      </c>
      <c r="S17" s="2" t="s">
        <v>26</v>
      </c>
      <c r="W17" s="35"/>
      <c r="X17" s="36" t="s">
        <v>8</v>
      </c>
      <c r="Y17" s="36" t="s">
        <v>19</v>
      </c>
      <c r="Z17" s="36"/>
      <c r="AA17" s="36" t="s">
        <v>21</v>
      </c>
      <c r="AB17" s="36"/>
      <c r="AC17" s="36" t="s">
        <v>18</v>
      </c>
      <c r="AD17" s="36"/>
      <c r="AE17" s="36"/>
      <c r="AF17" s="36"/>
      <c r="AG17" s="36"/>
      <c r="AH17" s="36"/>
      <c r="AI17" s="36" t="s">
        <v>50</v>
      </c>
      <c r="AJ17" s="36" t="s">
        <v>52</v>
      </c>
      <c r="AK17" s="36" t="s">
        <v>53</v>
      </c>
      <c r="AL17" s="36"/>
      <c r="AM17" s="3">
        <v>0.6</v>
      </c>
      <c r="AN17" s="32"/>
      <c r="AO17" s="3">
        <v>0.6</v>
      </c>
      <c r="AP17" s="2" t="s">
        <v>26</v>
      </c>
    </row>
    <row r="18" spans="1:42">
      <c r="B18" s="2" t="s">
        <v>9</v>
      </c>
      <c r="C18" s="2" t="s">
        <v>19</v>
      </c>
      <c r="D18" s="2"/>
      <c r="E18" s="2" t="s">
        <v>20</v>
      </c>
      <c r="F18" s="2"/>
      <c r="G18" s="2" t="s">
        <v>22</v>
      </c>
      <c r="H18" s="2"/>
      <c r="I18" s="2"/>
      <c r="J18" s="2"/>
      <c r="K18" s="2"/>
      <c r="L18" s="2"/>
      <c r="M18" s="2" t="s">
        <v>54</v>
      </c>
      <c r="N18" s="2" t="s">
        <v>56</v>
      </c>
      <c r="O18" s="2" t="s">
        <v>57</v>
      </c>
      <c r="P18" s="2"/>
      <c r="Q18" s="3">
        <v>0.6</v>
      </c>
      <c r="R18" s="3">
        <v>0.6</v>
      </c>
      <c r="S18" s="2" t="s">
        <v>26</v>
      </c>
      <c r="W18" s="35"/>
      <c r="X18" s="36" t="s">
        <v>9</v>
      </c>
      <c r="Y18" s="36" t="s">
        <v>19</v>
      </c>
      <c r="Z18" s="36"/>
      <c r="AA18" s="36" t="s">
        <v>20</v>
      </c>
      <c r="AB18" s="36"/>
      <c r="AC18" s="36" t="s">
        <v>22</v>
      </c>
      <c r="AD18" s="36"/>
      <c r="AE18" s="36"/>
      <c r="AF18" s="36"/>
      <c r="AG18" s="36"/>
      <c r="AH18" s="36"/>
      <c r="AI18" s="36" t="s">
        <v>54</v>
      </c>
      <c r="AJ18" s="36" t="s">
        <v>56</v>
      </c>
      <c r="AK18" s="36" t="s">
        <v>57</v>
      </c>
      <c r="AL18" s="36"/>
      <c r="AM18" s="3">
        <v>0.6</v>
      </c>
      <c r="AN18" s="32"/>
      <c r="AO18" s="3">
        <v>0.6</v>
      </c>
      <c r="AP18" s="2" t="s">
        <v>26</v>
      </c>
    </row>
    <row r="19" spans="1:42">
      <c r="B19" s="2" t="s">
        <v>10</v>
      </c>
      <c r="C19" s="2" t="s">
        <v>19</v>
      </c>
      <c r="D19" s="2"/>
      <c r="E19" s="2" t="s">
        <v>73</v>
      </c>
      <c r="F19" s="2"/>
      <c r="G19" s="2" t="s">
        <v>20</v>
      </c>
      <c r="H19" s="2"/>
      <c r="I19" s="2"/>
      <c r="J19" s="2"/>
      <c r="K19" s="2"/>
      <c r="L19" s="2"/>
      <c r="M19" s="2" t="s">
        <v>46</v>
      </c>
      <c r="N19" s="2" t="s">
        <v>51</v>
      </c>
      <c r="O19" s="2" t="s">
        <v>55</v>
      </c>
      <c r="P19" s="2"/>
      <c r="Q19" s="3">
        <v>0.6</v>
      </c>
      <c r="R19" s="3">
        <v>0.6</v>
      </c>
      <c r="S19" s="2" t="s">
        <v>25</v>
      </c>
      <c r="W19" s="35"/>
      <c r="X19" s="36" t="s">
        <v>10</v>
      </c>
      <c r="Y19" s="36" t="s">
        <v>19</v>
      </c>
      <c r="Z19" s="36"/>
      <c r="AA19" s="36" t="s">
        <v>73</v>
      </c>
      <c r="AB19" s="36"/>
      <c r="AC19" s="36" t="s">
        <v>20</v>
      </c>
      <c r="AD19" s="36"/>
      <c r="AE19" s="36"/>
      <c r="AF19" s="36"/>
      <c r="AG19" s="36"/>
      <c r="AH19" s="36"/>
      <c r="AI19" s="36" t="s">
        <v>46</v>
      </c>
      <c r="AJ19" s="36" t="s">
        <v>51</v>
      </c>
      <c r="AK19" s="36" t="s">
        <v>55</v>
      </c>
      <c r="AL19" s="36"/>
      <c r="AM19" s="3">
        <v>0.6</v>
      </c>
      <c r="AN19" s="32"/>
      <c r="AO19" s="3">
        <v>0.6</v>
      </c>
      <c r="AP19" s="2" t="s">
        <v>25</v>
      </c>
    </row>
    <row r="20" spans="1:42">
      <c r="B20" s="2" t="s">
        <v>12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 t="s">
        <v>27</v>
      </c>
      <c r="W20" s="35"/>
      <c r="X20" s="36" t="s">
        <v>12</v>
      </c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2"/>
      <c r="AN20" s="32"/>
      <c r="AO20" s="2"/>
      <c r="AP20" s="2" t="s">
        <v>27</v>
      </c>
    </row>
    <row r="21" spans="1:42">
      <c r="B21" s="2" t="s">
        <v>13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 t="s">
        <v>28</v>
      </c>
      <c r="W21" s="35"/>
      <c r="X21" s="36" t="s">
        <v>13</v>
      </c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2"/>
      <c r="AN21" s="32"/>
      <c r="AO21" s="2"/>
      <c r="AP21" s="2" t="s">
        <v>28</v>
      </c>
    </row>
    <row r="22" spans="1:42">
      <c r="B22" s="2" t="s">
        <v>14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 t="s">
        <v>28</v>
      </c>
      <c r="W22" s="35"/>
      <c r="X22" s="36" t="s">
        <v>14</v>
      </c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2"/>
      <c r="AN22" s="32"/>
      <c r="AO22" s="2"/>
      <c r="AP22" s="2" t="s">
        <v>28</v>
      </c>
    </row>
    <row r="23" spans="1:42">
      <c r="B23" s="2" t="s">
        <v>15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 t="s">
        <v>28</v>
      </c>
      <c r="W23" s="35"/>
      <c r="X23" s="36" t="s">
        <v>15</v>
      </c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2"/>
      <c r="AN23" s="32"/>
      <c r="AO23" s="2"/>
      <c r="AP23" s="2" t="s">
        <v>28</v>
      </c>
    </row>
    <row r="24" spans="1:42"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</row>
    <row r="25" spans="1:42">
      <c r="A25" s="100" t="s">
        <v>62</v>
      </c>
      <c r="B25" s="100"/>
      <c r="C25" s="100"/>
      <c r="R25" s="54" t="s">
        <v>111</v>
      </c>
      <c r="W25" s="101" t="s">
        <v>62</v>
      </c>
      <c r="X25" s="101"/>
      <c r="Y25" s="101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</row>
    <row r="26" spans="1:42" s="10" customFormat="1">
      <c r="C26" s="11">
        <v>0.2</v>
      </c>
      <c r="E26" s="11">
        <v>0.2</v>
      </c>
      <c r="G26" s="11">
        <v>0.2</v>
      </c>
      <c r="I26" s="11">
        <v>0.2</v>
      </c>
      <c r="K26" s="11">
        <v>0.2</v>
      </c>
      <c r="Q26" s="53" t="s">
        <v>110</v>
      </c>
      <c r="U26" s="27"/>
      <c r="W26" s="41"/>
      <c r="X26" s="41"/>
      <c r="Y26" s="42">
        <v>0.2</v>
      </c>
      <c r="Z26" s="41"/>
      <c r="AA26" s="42">
        <v>0.2</v>
      </c>
      <c r="AB26" s="41"/>
      <c r="AC26" s="42">
        <v>0.2</v>
      </c>
      <c r="AD26" s="41"/>
      <c r="AE26" s="42">
        <v>0.2</v>
      </c>
      <c r="AF26" s="41"/>
      <c r="AG26" s="42">
        <v>0.2</v>
      </c>
      <c r="AH26" s="41"/>
      <c r="AI26" s="41"/>
      <c r="AJ26" s="41"/>
      <c r="AK26" s="41"/>
      <c r="AL26" s="41"/>
      <c r="AN26" s="31"/>
    </row>
    <row r="27" spans="1:42">
      <c r="B27" s="2" t="s">
        <v>0</v>
      </c>
      <c r="C27" s="2" t="s">
        <v>1</v>
      </c>
      <c r="D27" s="2" t="s">
        <v>4</v>
      </c>
      <c r="E27" s="2" t="s">
        <v>2</v>
      </c>
      <c r="F27" s="2" t="s">
        <v>4</v>
      </c>
      <c r="G27" s="2" t="s">
        <v>3</v>
      </c>
      <c r="H27" s="2" t="s">
        <v>4</v>
      </c>
      <c r="I27" s="2" t="s">
        <v>16</v>
      </c>
      <c r="J27" s="2" t="s">
        <v>4</v>
      </c>
      <c r="K27" s="2" t="s">
        <v>17</v>
      </c>
      <c r="L27" s="2" t="s">
        <v>4</v>
      </c>
      <c r="M27" s="2" t="s">
        <v>37</v>
      </c>
      <c r="N27" s="2" t="s">
        <v>38</v>
      </c>
      <c r="O27" s="2" t="s">
        <v>39</v>
      </c>
      <c r="P27" s="2" t="s">
        <v>36</v>
      </c>
      <c r="Q27" s="58" t="s">
        <v>86</v>
      </c>
      <c r="R27" s="58" t="s">
        <v>87</v>
      </c>
      <c r="S27" s="2" t="s">
        <v>23</v>
      </c>
      <c r="W27" s="35"/>
      <c r="X27" s="36" t="s">
        <v>0</v>
      </c>
      <c r="Y27" s="36" t="s">
        <v>1</v>
      </c>
      <c r="Z27" s="36" t="s">
        <v>4</v>
      </c>
      <c r="AA27" s="36" t="s">
        <v>2</v>
      </c>
      <c r="AB27" s="36" t="s">
        <v>4</v>
      </c>
      <c r="AC27" s="36" t="s">
        <v>3</v>
      </c>
      <c r="AD27" s="36" t="s">
        <v>4</v>
      </c>
      <c r="AE27" s="36" t="s">
        <v>16</v>
      </c>
      <c r="AF27" s="36" t="s">
        <v>4</v>
      </c>
      <c r="AG27" s="36" t="s">
        <v>17</v>
      </c>
      <c r="AH27" s="36" t="s">
        <v>4</v>
      </c>
      <c r="AI27" s="36" t="s">
        <v>37</v>
      </c>
      <c r="AJ27" s="36" t="s">
        <v>38</v>
      </c>
      <c r="AK27" s="36" t="s">
        <v>39</v>
      </c>
      <c r="AL27" s="36" t="s">
        <v>36</v>
      </c>
      <c r="AM27" s="2" t="s">
        <v>86</v>
      </c>
      <c r="AN27" s="32" t="s">
        <v>88</v>
      </c>
      <c r="AO27" s="2" t="s">
        <v>87</v>
      </c>
      <c r="AP27" s="2" t="s">
        <v>23</v>
      </c>
    </row>
    <row r="28" spans="1:42">
      <c r="B28" s="2" t="s">
        <v>5</v>
      </c>
      <c r="C28" s="2" t="s">
        <v>18</v>
      </c>
      <c r="D28" s="2"/>
      <c r="E28" s="2" t="s">
        <v>19</v>
      </c>
      <c r="F28" s="2"/>
      <c r="G28" s="2" t="s">
        <v>20</v>
      </c>
      <c r="H28" s="2"/>
      <c r="I28" s="2" t="s">
        <v>21</v>
      </c>
      <c r="J28" s="2"/>
      <c r="K28" s="2" t="s">
        <v>22</v>
      </c>
      <c r="L28" s="2"/>
      <c r="M28" s="2" t="s">
        <v>40</v>
      </c>
      <c r="N28" s="2" t="s">
        <v>41</v>
      </c>
      <c r="O28" s="2" t="s">
        <v>42</v>
      </c>
      <c r="P28" s="2"/>
      <c r="Q28" s="3">
        <v>1</v>
      </c>
      <c r="R28" s="3">
        <v>1</v>
      </c>
      <c r="S28" s="2" t="s">
        <v>24</v>
      </c>
      <c r="W28" s="35"/>
      <c r="X28" s="36" t="s">
        <v>5</v>
      </c>
      <c r="Y28" s="36" t="s">
        <v>18</v>
      </c>
      <c r="Z28" s="36"/>
      <c r="AA28" s="36" t="s">
        <v>19</v>
      </c>
      <c r="AB28" s="36"/>
      <c r="AC28" s="36" t="s">
        <v>20</v>
      </c>
      <c r="AD28" s="36"/>
      <c r="AE28" s="36" t="s">
        <v>21</v>
      </c>
      <c r="AF28" s="36"/>
      <c r="AG28" s="36" t="s">
        <v>22</v>
      </c>
      <c r="AH28" s="36"/>
      <c r="AI28" s="36" t="s">
        <v>40</v>
      </c>
      <c r="AJ28" s="36" t="s">
        <v>41</v>
      </c>
      <c r="AK28" s="36" t="s">
        <v>42</v>
      </c>
      <c r="AL28" s="36"/>
      <c r="AM28" s="3">
        <v>1</v>
      </c>
      <c r="AN28" s="32"/>
      <c r="AO28" s="3">
        <v>1</v>
      </c>
      <c r="AP28" s="2" t="s">
        <v>24</v>
      </c>
    </row>
    <row r="29" spans="1:42">
      <c r="B29" s="2" t="s">
        <v>6</v>
      </c>
      <c r="C29" s="2" t="s">
        <v>19</v>
      </c>
      <c r="D29" s="2"/>
      <c r="E29" s="2" t="s">
        <v>20</v>
      </c>
      <c r="F29" s="2"/>
      <c r="G29" s="2" t="s">
        <v>21</v>
      </c>
      <c r="H29" s="2"/>
      <c r="I29" s="2"/>
      <c r="J29" s="2"/>
      <c r="K29" s="2"/>
      <c r="L29" s="2"/>
      <c r="M29" s="2" t="s">
        <v>43</v>
      </c>
      <c r="N29" s="2" t="s">
        <v>44</v>
      </c>
      <c r="O29" s="2" t="s">
        <v>45</v>
      </c>
      <c r="P29" s="2"/>
      <c r="Q29" s="3">
        <v>0.6</v>
      </c>
      <c r="R29" s="3">
        <v>0.6</v>
      </c>
      <c r="S29" s="2" t="s">
        <v>26</v>
      </c>
      <c r="W29" s="35"/>
      <c r="X29" s="36" t="s">
        <v>6</v>
      </c>
      <c r="Y29" s="36" t="s">
        <v>19</v>
      </c>
      <c r="Z29" s="36"/>
      <c r="AA29" s="36" t="s">
        <v>20</v>
      </c>
      <c r="AB29" s="36"/>
      <c r="AC29" s="36" t="s">
        <v>21</v>
      </c>
      <c r="AD29" s="36"/>
      <c r="AE29" s="36"/>
      <c r="AF29" s="36"/>
      <c r="AG29" s="36"/>
      <c r="AH29" s="36"/>
      <c r="AI29" s="36" t="s">
        <v>43</v>
      </c>
      <c r="AJ29" s="36" t="s">
        <v>44</v>
      </c>
      <c r="AK29" s="36" t="s">
        <v>45</v>
      </c>
      <c r="AL29" s="36"/>
      <c r="AM29" s="3">
        <v>0.6</v>
      </c>
      <c r="AN29" s="32"/>
      <c r="AO29" s="3">
        <v>0.6</v>
      </c>
      <c r="AP29" s="2" t="s">
        <v>26</v>
      </c>
    </row>
    <row r="30" spans="1:42">
      <c r="B30" s="2" t="s">
        <v>7</v>
      </c>
      <c r="C30" s="2" t="s">
        <v>20</v>
      </c>
      <c r="D30" s="2"/>
      <c r="E30" s="2" t="s">
        <v>18</v>
      </c>
      <c r="F30" s="2"/>
      <c r="G30" s="2" t="s">
        <v>19</v>
      </c>
      <c r="H30" s="2"/>
      <c r="I30" s="2"/>
      <c r="J30" s="2"/>
      <c r="K30" s="2"/>
      <c r="L30" s="2"/>
      <c r="M30" s="2" t="s">
        <v>47</v>
      </c>
      <c r="N30" s="2" t="s">
        <v>48</v>
      </c>
      <c r="O30" s="2" t="s">
        <v>49</v>
      </c>
      <c r="P30" s="2"/>
      <c r="Q30" s="3">
        <v>0.6</v>
      </c>
      <c r="R30" s="3">
        <v>0.6</v>
      </c>
      <c r="S30" s="2" t="s">
        <v>26</v>
      </c>
      <c r="W30" s="35"/>
      <c r="X30" s="36" t="s">
        <v>7</v>
      </c>
      <c r="Y30" s="36" t="s">
        <v>20</v>
      </c>
      <c r="Z30" s="36"/>
      <c r="AA30" s="36" t="s">
        <v>18</v>
      </c>
      <c r="AB30" s="36"/>
      <c r="AC30" s="36" t="s">
        <v>19</v>
      </c>
      <c r="AD30" s="36"/>
      <c r="AE30" s="36"/>
      <c r="AF30" s="36"/>
      <c r="AG30" s="36"/>
      <c r="AH30" s="36"/>
      <c r="AI30" s="36" t="s">
        <v>47</v>
      </c>
      <c r="AJ30" s="36" t="s">
        <v>48</v>
      </c>
      <c r="AK30" s="36" t="s">
        <v>49</v>
      </c>
      <c r="AL30" s="36"/>
      <c r="AM30" s="3">
        <v>0.6</v>
      </c>
      <c r="AN30" s="32"/>
      <c r="AO30" s="3">
        <v>0.6</v>
      </c>
      <c r="AP30" s="2" t="s">
        <v>26</v>
      </c>
    </row>
    <row r="31" spans="1:42">
      <c r="B31" s="2" t="s">
        <v>8</v>
      </c>
      <c r="C31" s="2" t="s">
        <v>19</v>
      </c>
      <c r="D31" s="2"/>
      <c r="E31" s="2" t="s">
        <v>21</v>
      </c>
      <c r="F31" s="2"/>
      <c r="G31" s="2" t="s">
        <v>18</v>
      </c>
      <c r="H31" s="2"/>
      <c r="I31" s="2"/>
      <c r="J31" s="2"/>
      <c r="K31" s="2"/>
      <c r="L31" s="2"/>
      <c r="M31" s="2" t="s">
        <v>50</v>
      </c>
      <c r="N31" s="2" t="s">
        <v>52</v>
      </c>
      <c r="O31" s="2" t="s">
        <v>53</v>
      </c>
      <c r="P31" s="2"/>
      <c r="Q31" s="3">
        <v>0.6</v>
      </c>
      <c r="R31" s="3">
        <v>0.6</v>
      </c>
      <c r="S31" s="2" t="s">
        <v>26</v>
      </c>
      <c r="W31" s="35"/>
      <c r="X31" s="36" t="s">
        <v>8</v>
      </c>
      <c r="Y31" s="36" t="s">
        <v>19</v>
      </c>
      <c r="Z31" s="36"/>
      <c r="AA31" s="36" t="s">
        <v>21</v>
      </c>
      <c r="AB31" s="36"/>
      <c r="AC31" s="36" t="s">
        <v>18</v>
      </c>
      <c r="AD31" s="36"/>
      <c r="AE31" s="36"/>
      <c r="AF31" s="36"/>
      <c r="AG31" s="36"/>
      <c r="AH31" s="36"/>
      <c r="AI31" s="36" t="s">
        <v>50</v>
      </c>
      <c r="AJ31" s="36" t="s">
        <v>52</v>
      </c>
      <c r="AK31" s="36" t="s">
        <v>53</v>
      </c>
      <c r="AL31" s="36"/>
      <c r="AM31" s="3">
        <v>0.6</v>
      </c>
      <c r="AN31" s="32"/>
      <c r="AO31" s="3">
        <v>0.6</v>
      </c>
      <c r="AP31" s="2" t="s">
        <v>26</v>
      </c>
    </row>
    <row r="32" spans="1:42">
      <c r="B32" s="2" t="s">
        <v>9</v>
      </c>
      <c r="C32" s="2" t="s">
        <v>19</v>
      </c>
      <c r="D32" s="2"/>
      <c r="E32" s="2" t="s">
        <v>20</v>
      </c>
      <c r="F32" s="2"/>
      <c r="G32" s="2" t="s">
        <v>22</v>
      </c>
      <c r="H32" s="2"/>
      <c r="I32" s="2"/>
      <c r="J32" s="2"/>
      <c r="K32" s="2"/>
      <c r="L32" s="2"/>
      <c r="M32" s="2" t="s">
        <v>54</v>
      </c>
      <c r="N32" s="2" t="s">
        <v>56</v>
      </c>
      <c r="O32" s="2" t="s">
        <v>57</v>
      </c>
      <c r="P32" s="2"/>
      <c r="Q32" s="3">
        <v>0.6</v>
      </c>
      <c r="R32" s="3">
        <v>0.6</v>
      </c>
      <c r="S32" s="2" t="s">
        <v>26</v>
      </c>
      <c r="W32" s="35"/>
      <c r="X32" s="36" t="s">
        <v>9</v>
      </c>
      <c r="Y32" s="36" t="s">
        <v>19</v>
      </c>
      <c r="Z32" s="36"/>
      <c r="AA32" s="36" t="s">
        <v>20</v>
      </c>
      <c r="AB32" s="36"/>
      <c r="AC32" s="36" t="s">
        <v>22</v>
      </c>
      <c r="AD32" s="36"/>
      <c r="AE32" s="36"/>
      <c r="AF32" s="36"/>
      <c r="AG32" s="36"/>
      <c r="AH32" s="36"/>
      <c r="AI32" s="36" t="s">
        <v>54</v>
      </c>
      <c r="AJ32" s="36" t="s">
        <v>56</v>
      </c>
      <c r="AK32" s="36" t="s">
        <v>57</v>
      </c>
      <c r="AL32" s="36"/>
      <c r="AM32" s="3">
        <v>0.6</v>
      </c>
      <c r="AN32" s="32"/>
      <c r="AO32" s="3">
        <v>0.6</v>
      </c>
      <c r="AP32" s="2" t="s">
        <v>26</v>
      </c>
    </row>
    <row r="33" spans="1:42">
      <c r="B33" s="2" t="s">
        <v>10</v>
      </c>
      <c r="C33" s="2" t="s">
        <v>19</v>
      </c>
      <c r="D33" s="2"/>
      <c r="E33" s="2" t="s">
        <v>73</v>
      </c>
      <c r="F33" s="2"/>
      <c r="G33" s="2" t="s">
        <v>20</v>
      </c>
      <c r="H33" s="2"/>
      <c r="I33" s="2"/>
      <c r="J33" s="2"/>
      <c r="K33" s="2"/>
      <c r="L33" s="2"/>
      <c r="M33" s="2" t="s">
        <v>46</v>
      </c>
      <c r="N33" s="2" t="s">
        <v>51</v>
      </c>
      <c r="O33" s="2" t="s">
        <v>55</v>
      </c>
      <c r="P33" s="2"/>
      <c r="Q33" s="3">
        <v>0.6</v>
      </c>
      <c r="R33" s="3">
        <v>0.6</v>
      </c>
      <c r="S33" s="2" t="s">
        <v>25</v>
      </c>
      <c r="W33" s="35"/>
      <c r="X33" s="36" t="s">
        <v>10</v>
      </c>
      <c r="Y33" s="36" t="s">
        <v>19</v>
      </c>
      <c r="Z33" s="36"/>
      <c r="AA33" s="36" t="s">
        <v>73</v>
      </c>
      <c r="AB33" s="36"/>
      <c r="AC33" s="36" t="s">
        <v>20</v>
      </c>
      <c r="AD33" s="36"/>
      <c r="AE33" s="36"/>
      <c r="AF33" s="36"/>
      <c r="AG33" s="36"/>
      <c r="AH33" s="36"/>
      <c r="AI33" s="36" t="s">
        <v>46</v>
      </c>
      <c r="AJ33" s="36" t="s">
        <v>51</v>
      </c>
      <c r="AK33" s="36" t="s">
        <v>55</v>
      </c>
      <c r="AL33" s="36"/>
      <c r="AM33" s="3">
        <v>0.6</v>
      </c>
      <c r="AN33" s="32"/>
      <c r="AO33" s="3">
        <v>0.6</v>
      </c>
      <c r="AP33" s="2" t="s">
        <v>25</v>
      </c>
    </row>
    <row r="34" spans="1:42">
      <c r="B34" s="2" t="s">
        <v>12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 t="s">
        <v>27</v>
      </c>
      <c r="W34" s="35"/>
      <c r="X34" s="36" t="s">
        <v>12</v>
      </c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2"/>
      <c r="AN34" s="32"/>
      <c r="AO34" s="2"/>
      <c r="AP34" s="2" t="s">
        <v>27</v>
      </c>
    </row>
    <row r="35" spans="1:42">
      <c r="B35" s="2" t="s">
        <v>13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 t="s">
        <v>28</v>
      </c>
      <c r="W35" s="35"/>
      <c r="X35" s="36" t="s">
        <v>13</v>
      </c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2"/>
      <c r="AN35" s="32"/>
      <c r="AO35" s="2"/>
      <c r="AP35" s="2" t="s">
        <v>28</v>
      </c>
    </row>
    <row r="36" spans="1:42">
      <c r="B36" s="2" t="s">
        <v>14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 t="s">
        <v>28</v>
      </c>
      <c r="W36" s="35"/>
      <c r="X36" s="36" t="s">
        <v>14</v>
      </c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2"/>
      <c r="AN36" s="32"/>
      <c r="AO36" s="2"/>
      <c r="AP36" s="2" t="s">
        <v>28</v>
      </c>
    </row>
    <row r="37" spans="1:42">
      <c r="B37" s="2" t="s">
        <v>15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 t="s">
        <v>28</v>
      </c>
      <c r="W37" s="35"/>
      <c r="X37" s="36" t="s">
        <v>15</v>
      </c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2"/>
      <c r="AN37" s="32"/>
      <c r="AO37" s="2"/>
      <c r="AP37" s="2" t="s">
        <v>28</v>
      </c>
    </row>
    <row r="38" spans="1:42" s="6" customFormat="1">
      <c r="B38" s="5" t="s">
        <v>34</v>
      </c>
      <c r="C38" s="5" t="s">
        <v>19</v>
      </c>
      <c r="D38" s="5"/>
      <c r="E38" s="5" t="s">
        <v>18</v>
      </c>
      <c r="F38" s="5"/>
      <c r="G38" s="5" t="s">
        <v>20</v>
      </c>
      <c r="H38" s="5"/>
      <c r="I38" s="5"/>
      <c r="J38" s="5"/>
      <c r="K38" s="5"/>
      <c r="L38" s="5"/>
      <c r="M38" s="5" t="s">
        <v>47</v>
      </c>
      <c r="N38" s="5" t="s">
        <v>52</v>
      </c>
      <c r="O38" s="5" t="s">
        <v>57</v>
      </c>
      <c r="P38" s="5"/>
      <c r="Q38" s="57">
        <v>0.6</v>
      </c>
      <c r="R38" s="57">
        <v>0.6</v>
      </c>
      <c r="S38" s="18" t="s">
        <v>26</v>
      </c>
      <c r="U38" s="26"/>
      <c r="W38" s="35"/>
      <c r="X38" s="36" t="s">
        <v>34</v>
      </c>
      <c r="Y38" s="36" t="s">
        <v>19</v>
      </c>
      <c r="Z38" s="36"/>
      <c r="AA38" s="36" t="s">
        <v>18</v>
      </c>
      <c r="AB38" s="36"/>
      <c r="AC38" s="36" t="s">
        <v>20</v>
      </c>
      <c r="AD38" s="36"/>
      <c r="AE38" s="36"/>
      <c r="AF38" s="36"/>
      <c r="AG38" s="36"/>
      <c r="AH38" s="36"/>
      <c r="AI38" s="36" t="s">
        <v>47</v>
      </c>
      <c r="AJ38" s="36" t="s">
        <v>52</v>
      </c>
      <c r="AK38" s="36" t="s">
        <v>57</v>
      </c>
      <c r="AL38" s="36"/>
      <c r="AM38" s="7">
        <v>0.6</v>
      </c>
      <c r="AN38" s="32"/>
      <c r="AO38" s="7"/>
      <c r="AP38" s="18" t="s">
        <v>26</v>
      </c>
    </row>
    <row r="39" spans="1:42"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35"/>
      <c r="AL39" s="35"/>
    </row>
    <row r="40" spans="1:42">
      <c r="A40" s="99" t="s">
        <v>63</v>
      </c>
      <c r="B40" s="99"/>
      <c r="C40" s="99"/>
      <c r="D40" s="99"/>
      <c r="W40" s="102" t="s">
        <v>63</v>
      </c>
      <c r="X40" s="102"/>
      <c r="Y40" s="102"/>
      <c r="Z40" s="102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/>
    </row>
    <row r="41" spans="1:42"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/>
      <c r="AK41" s="35"/>
      <c r="AL41" s="35"/>
    </row>
    <row r="42" spans="1:42">
      <c r="B42" s="2" t="s">
        <v>0</v>
      </c>
      <c r="C42" s="2" t="s">
        <v>1</v>
      </c>
      <c r="D42" s="2" t="s">
        <v>4</v>
      </c>
      <c r="E42" s="2" t="s">
        <v>2</v>
      </c>
      <c r="F42" s="2" t="s">
        <v>4</v>
      </c>
      <c r="G42" s="2" t="s">
        <v>3</v>
      </c>
      <c r="H42" s="2" t="s">
        <v>4</v>
      </c>
      <c r="I42" s="2" t="s">
        <v>16</v>
      </c>
      <c r="J42" s="2" t="s">
        <v>4</v>
      </c>
      <c r="K42" s="2" t="s">
        <v>17</v>
      </c>
      <c r="L42" s="2" t="s">
        <v>4</v>
      </c>
      <c r="M42" s="2" t="s">
        <v>37</v>
      </c>
      <c r="N42" s="2" t="s">
        <v>38</v>
      </c>
      <c r="O42" s="2" t="s">
        <v>39</v>
      </c>
      <c r="P42" s="2" t="s">
        <v>36</v>
      </c>
      <c r="Q42" s="2" t="s">
        <v>86</v>
      </c>
      <c r="R42" s="2" t="s">
        <v>87</v>
      </c>
      <c r="S42" s="2" t="s">
        <v>23</v>
      </c>
      <c r="W42" s="35"/>
      <c r="X42" s="36" t="s">
        <v>0</v>
      </c>
      <c r="Y42" s="36" t="s">
        <v>1</v>
      </c>
      <c r="Z42" s="36" t="s">
        <v>4</v>
      </c>
      <c r="AA42" s="36" t="s">
        <v>2</v>
      </c>
      <c r="AB42" s="36" t="s">
        <v>4</v>
      </c>
      <c r="AC42" s="36" t="s">
        <v>3</v>
      </c>
      <c r="AD42" s="36" t="s">
        <v>4</v>
      </c>
      <c r="AE42" s="36" t="s">
        <v>16</v>
      </c>
      <c r="AF42" s="36" t="s">
        <v>4</v>
      </c>
      <c r="AG42" s="36" t="s">
        <v>17</v>
      </c>
      <c r="AH42" s="36" t="s">
        <v>4</v>
      </c>
      <c r="AI42" s="36" t="s">
        <v>37</v>
      </c>
      <c r="AJ42" s="36" t="s">
        <v>38</v>
      </c>
      <c r="AK42" s="36" t="s">
        <v>39</v>
      </c>
      <c r="AL42" s="36" t="s">
        <v>36</v>
      </c>
      <c r="AM42" s="2" t="s">
        <v>86</v>
      </c>
      <c r="AN42" s="32" t="s">
        <v>88</v>
      </c>
      <c r="AO42" s="2" t="s">
        <v>87</v>
      </c>
      <c r="AP42" s="2" t="s">
        <v>23</v>
      </c>
    </row>
    <row r="43" spans="1:42">
      <c r="B43" s="2" t="s">
        <v>5</v>
      </c>
      <c r="C43" s="2" t="s">
        <v>18</v>
      </c>
      <c r="D43" s="2"/>
      <c r="E43" s="2" t="s">
        <v>19</v>
      </c>
      <c r="F43" s="2"/>
      <c r="G43" s="2" t="s">
        <v>20</v>
      </c>
      <c r="H43" s="2"/>
      <c r="I43" s="2" t="s">
        <v>21</v>
      </c>
      <c r="J43" s="2"/>
      <c r="K43" s="2" t="s">
        <v>22</v>
      </c>
      <c r="L43" s="2"/>
      <c r="M43" s="2" t="s">
        <v>40</v>
      </c>
      <c r="N43" s="2" t="s">
        <v>41</v>
      </c>
      <c r="O43" s="2" t="s">
        <v>42</v>
      </c>
      <c r="P43" s="2"/>
      <c r="Q43" s="3">
        <v>1</v>
      </c>
      <c r="R43" s="3">
        <v>1</v>
      </c>
      <c r="S43" s="2" t="s">
        <v>24</v>
      </c>
      <c r="W43" s="35"/>
      <c r="X43" s="36" t="s">
        <v>5</v>
      </c>
      <c r="Y43" s="36" t="s">
        <v>18</v>
      </c>
      <c r="Z43" s="36"/>
      <c r="AA43" s="36" t="s">
        <v>19</v>
      </c>
      <c r="AB43" s="36"/>
      <c r="AC43" s="36" t="s">
        <v>20</v>
      </c>
      <c r="AD43" s="36"/>
      <c r="AE43" s="36" t="s">
        <v>21</v>
      </c>
      <c r="AF43" s="36"/>
      <c r="AG43" s="36" t="s">
        <v>22</v>
      </c>
      <c r="AH43" s="36"/>
      <c r="AI43" s="36" t="s">
        <v>40</v>
      </c>
      <c r="AJ43" s="36" t="s">
        <v>41</v>
      </c>
      <c r="AK43" s="36" t="s">
        <v>42</v>
      </c>
      <c r="AL43" s="36"/>
      <c r="AM43" s="3">
        <v>1</v>
      </c>
      <c r="AN43" s="32"/>
      <c r="AO43" s="3">
        <v>1</v>
      </c>
      <c r="AP43" s="2" t="s">
        <v>24</v>
      </c>
    </row>
    <row r="44" spans="1:42">
      <c r="B44" s="8" t="s">
        <v>6</v>
      </c>
      <c r="C44" s="8" t="s">
        <v>19</v>
      </c>
      <c r="D44" s="8"/>
      <c r="E44" s="8" t="s">
        <v>20</v>
      </c>
      <c r="F44" s="8"/>
      <c r="G44" s="8" t="s">
        <v>58</v>
      </c>
      <c r="H44" s="8"/>
      <c r="I44" s="8"/>
      <c r="J44" s="8"/>
      <c r="K44" s="8"/>
      <c r="L44" s="8"/>
      <c r="M44" s="8" t="s">
        <v>43</v>
      </c>
      <c r="N44" s="8" t="s">
        <v>44</v>
      </c>
      <c r="O44" s="8" t="s">
        <v>45</v>
      </c>
      <c r="P44" s="8"/>
      <c r="Q44" s="9">
        <v>0.6</v>
      </c>
      <c r="R44" s="9">
        <v>0.6</v>
      </c>
      <c r="S44" s="16" t="s">
        <v>26</v>
      </c>
      <c r="W44" s="35"/>
      <c r="X44" s="36" t="s">
        <v>6</v>
      </c>
      <c r="Y44" s="36" t="s">
        <v>19</v>
      </c>
      <c r="Z44" s="36"/>
      <c r="AA44" s="36" t="s">
        <v>20</v>
      </c>
      <c r="AB44" s="36"/>
      <c r="AC44" s="36" t="s">
        <v>58</v>
      </c>
      <c r="AD44" s="36"/>
      <c r="AE44" s="36"/>
      <c r="AF44" s="36"/>
      <c r="AG44" s="36"/>
      <c r="AH44" s="36"/>
      <c r="AI44" s="36" t="s">
        <v>43</v>
      </c>
      <c r="AJ44" s="36" t="s">
        <v>44</v>
      </c>
      <c r="AK44" s="36" t="s">
        <v>45</v>
      </c>
      <c r="AL44" s="36"/>
      <c r="AM44" s="9">
        <v>0.6</v>
      </c>
      <c r="AN44" s="32"/>
      <c r="AO44" s="9">
        <v>0.6</v>
      </c>
      <c r="AP44" s="16" t="s">
        <v>26</v>
      </c>
    </row>
    <row r="45" spans="1:42">
      <c r="B45" s="8" t="s">
        <v>7</v>
      </c>
      <c r="C45" s="8" t="s">
        <v>20</v>
      </c>
      <c r="D45" s="8"/>
      <c r="E45" s="8" t="s">
        <v>18</v>
      </c>
      <c r="F45" s="8"/>
      <c r="G45" s="8" t="s">
        <v>19</v>
      </c>
      <c r="H45" s="8"/>
      <c r="I45" s="8"/>
      <c r="J45" s="8"/>
      <c r="K45" s="8"/>
      <c r="L45" s="8"/>
      <c r="M45" s="8" t="s">
        <v>47</v>
      </c>
      <c r="N45" s="8" t="s">
        <v>48</v>
      </c>
      <c r="O45" s="8" t="s">
        <v>49</v>
      </c>
      <c r="P45" s="8"/>
      <c r="Q45" s="9">
        <v>0.6</v>
      </c>
      <c r="R45" s="9">
        <v>0.6</v>
      </c>
      <c r="S45" s="16" t="s">
        <v>26</v>
      </c>
      <c r="W45" s="35"/>
      <c r="X45" s="36" t="s">
        <v>7</v>
      </c>
      <c r="Y45" s="36" t="s">
        <v>20</v>
      </c>
      <c r="Z45" s="36"/>
      <c r="AA45" s="36" t="s">
        <v>18</v>
      </c>
      <c r="AB45" s="36"/>
      <c r="AC45" s="36" t="s">
        <v>19</v>
      </c>
      <c r="AD45" s="36"/>
      <c r="AE45" s="36"/>
      <c r="AF45" s="36"/>
      <c r="AG45" s="36"/>
      <c r="AH45" s="36"/>
      <c r="AI45" s="36" t="s">
        <v>47</v>
      </c>
      <c r="AJ45" s="36" t="s">
        <v>48</v>
      </c>
      <c r="AK45" s="36" t="s">
        <v>49</v>
      </c>
      <c r="AL45" s="36"/>
      <c r="AM45" s="9">
        <v>0.6</v>
      </c>
      <c r="AN45" s="32"/>
      <c r="AO45" s="9">
        <v>0.6</v>
      </c>
      <c r="AP45" s="16" t="s">
        <v>26</v>
      </c>
    </row>
    <row r="46" spans="1:42">
      <c r="B46" s="8" t="s">
        <v>8</v>
      </c>
      <c r="C46" s="8" t="s">
        <v>19</v>
      </c>
      <c r="D46" s="8"/>
      <c r="E46" s="8" t="s">
        <v>21</v>
      </c>
      <c r="F46" s="8"/>
      <c r="G46" s="8" t="s">
        <v>18</v>
      </c>
      <c r="H46" s="8"/>
      <c r="I46" s="8"/>
      <c r="J46" s="8"/>
      <c r="K46" s="8"/>
      <c r="L46" s="8"/>
      <c r="M46" s="8" t="s">
        <v>50</v>
      </c>
      <c r="N46" s="8" t="s">
        <v>52</v>
      </c>
      <c r="O46" s="8" t="s">
        <v>53</v>
      </c>
      <c r="P46" s="8"/>
      <c r="Q46" s="9">
        <v>0.6</v>
      </c>
      <c r="R46" s="9">
        <v>0.6</v>
      </c>
      <c r="S46" s="16" t="s">
        <v>26</v>
      </c>
      <c r="W46" s="35"/>
      <c r="X46" s="36" t="s">
        <v>8</v>
      </c>
      <c r="Y46" s="36" t="s">
        <v>19</v>
      </c>
      <c r="Z46" s="36"/>
      <c r="AA46" s="36" t="s">
        <v>21</v>
      </c>
      <c r="AB46" s="36"/>
      <c r="AC46" s="36" t="s">
        <v>18</v>
      </c>
      <c r="AD46" s="36"/>
      <c r="AE46" s="36"/>
      <c r="AF46" s="36"/>
      <c r="AG46" s="36"/>
      <c r="AH46" s="36"/>
      <c r="AI46" s="36" t="s">
        <v>50</v>
      </c>
      <c r="AJ46" s="36" t="s">
        <v>52</v>
      </c>
      <c r="AK46" s="36" t="s">
        <v>53</v>
      </c>
      <c r="AL46" s="36"/>
      <c r="AM46" s="9">
        <v>0.6</v>
      </c>
      <c r="AN46" s="32"/>
      <c r="AO46" s="9">
        <v>0.6</v>
      </c>
      <c r="AP46" s="16" t="s">
        <v>26</v>
      </c>
    </row>
    <row r="47" spans="1:42">
      <c r="B47" s="8" t="s">
        <v>9</v>
      </c>
      <c r="C47" s="8" t="s">
        <v>19</v>
      </c>
      <c r="D47" s="8"/>
      <c r="E47" s="8" t="s">
        <v>20</v>
      </c>
      <c r="F47" s="8"/>
      <c r="G47" s="8" t="s">
        <v>76</v>
      </c>
      <c r="H47" s="8"/>
      <c r="I47" s="8"/>
      <c r="J47" s="8"/>
      <c r="K47" s="8"/>
      <c r="L47" s="8"/>
      <c r="M47" s="8" t="s">
        <v>54</v>
      </c>
      <c r="N47" s="8" t="s">
        <v>56</v>
      </c>
      <c r="O47" s="8" t="s">
        <v>57</v>
      </c>
      <c r="P47" s="8"/>
      <c r="Q47" s="9">
        <v>0.6</v>
      </c>
      <c r="R47" s="9">
        <v>0.6</v>
      </c>
      <c r="S47" s="16" t="s">
        <v>26</v>
      </c>
      <c r="W47" s="35"/>
      <c r="X47" s="36" t="s">
        <v>9</v>
      </c>
      <c r="Y47" s="36" t="s">
        <v>19</v>
      </c>
      <c r="Z47" s="36"/>
      <c r="AA47" s="36" t="s">
        <v>20</v>
      </c>
      <c r="AB47" s="36"/>
      <c r="AC47" s="36" t="s">
        <v>76</v>
      </c>
      <c r="AD47" s="36"/>
      <c r="AE47" s="36"/>
      <c r="AF47" s="36"/>
      <c r="AG47" s="36"/>
      <c r="AH47" s="36"/>
      <c r="AI47" s="36" t="s">
        <v>54</v>
      </c>
      <c r="AJ47" s="36" t="s">
        <v>56</v>
      </c>
      <c r="AK47" s="36" t="s">
        <v>57</v>
      </c>
      <c r="AL47" s="36"/>
      <c r="AM47" s="9">
        <v>0.6</v>
      </c>
      <c r="AN47" s="32"/>
      <c r="AO47" s="9">
        <v>0.6</v>
      </c>
      <c r="AP47" s="16" t="s">
        <v>26</v>
      </c>
    </row>
    <row r="48" spans="1:42">
      <c r="B48" s="8" t="s">
        <v>11</v>
      </c>
      <c r="C48" s="8" t="s">
        <v>19</v>
      </c>
      <c r="D48" s="8"/>
      <c r="E48" s="8" t="s">
        <v>73</v>
      </c>
      <c r="F48" s="8"/>
      <c r="G48" s="8" t="s">
        <v>20</v>
      </c>
      <c r="H48" s="8"/>
      <c r="I48" s="8"/>
      <c r="J48" s="8"/>
      <c r="K48" s="8"/>
      <c r="L48" s="8"/>
      <c r="M48" s="8" t="s">
        <v>47</v>
      </c>
      <c r="N48" s="8" t="s">
        <v>52</v>
      </c>
      <c r="O48" s="8" t="s">
        <v>56</v>
      </c>
      <c r="P48" s="8"/>
      <c r="Q48" s="9">
        <v>0.6</v>
      </c>
      <c r="R48" s="9">
        <v>0.6</v>
      </c>
      <c r="S48" s="16" t="s">
        <v>26</v>
      </c>
      <c r="W48" s="35"/>
      <c r="X48" s="36" t="s">
        <v>11</v>
      </c>
      <c r="Y48" s="36" t="s">
        <v>19</v>
      </c>
      <c r="Z48" s="36"/>
      <c r="AA48" s="36" t="s">
        <v>73</v>
      </c>
      <c r="AB48" s="36"/>
      <c r="AC48" s="36" t="s">
        <v>20</v>
      </c>
      <c r="AD48" s="36"/>
      <c r="AE48" s="36"/>
      <c r="AF48" s="36"/>
      <c r="AG48" s="36"/>
      <c r="AH48" s="36"/>
      <c r="AI48" s="36" t="s">
        <v>47</v>
      </c>
      <c r="AJ48" s="36" t="s">
        <v>52</v>
      </c>
      <c r="AK48" s="36" t="s">
        <v>56</v>
      </c>
      <c r="AL48" s="36"/>
      <c r="AM48" s="9">
        <v>0.6</v>
      </c>
      <c r="AN48" s="32"/>
      <c r="AO48" s="9">
        <v>0.6</v>
      </c>
      <c r="AP48" s="16" t="s">
        <v>26</v>
      </c>
    </row>
    <row r="49" spans="1:42">
      <c r="B49" s="2" t="s">
        <v>12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 t="s">
        <v>27</v>
      </c>
      <c r="W49" s="35"/>
      <c r="X49" s="36" t="s">
        <v>12</v>
      </c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36"/>
      <c r="AK49" s="36"/>
      <c r="AL49" s="36"/>
      <c r="AM49" s="2"/>
      <c r="AN49" s="32"/>
      <c r="AO49" s="2"/>
      <c r="AP49" s="2" t="s">
        <v>27</v>
      </c>
    </row>
    <row r="50" spans="1:42">
      <c r="B50" s="2" t="s">
        <v>13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 t="s">
        <v>28</v>
      </c>
      <c r="W50" s="35"/>
      <c r="X50" s="36" t="s">
        <v>13</v>
      </c>
      <c r="Y50" s="36"/>
      <c r="Z50" s="36"/>
      <c r="AA50" s="36"/>
      <c r="AB50" s="36"/>
      <c r="AC50" s="36"/>
      <c r="AD50" s="36"/>
      <c r="AE50" s="36"/>
      <c r="AF50" s="36"/>
      <c r="AG50" s="36"/>
      <c r="AH50" s="36"/>
      <c r="AI50" s="36"/>
      <c r="AJ50" s="36"/>
      <c r="AK50" s="36"/>
      <c r="AL50" s="36"/>
      <c r="AM50" s="2"/>
      <c r="AN50" s="32"/>
      <c r="AO50" s="2"/>
      <c r="AP50" s="2" t="s">
        <v>28</v>
      </c>
    </row>
    <row r="51" spans="1:42">
      <c r="B51" s="2" t="s">
        <v>14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 t="s">
        <v>28</v>
      </c>
      <c r="W51" s="35"/>
      <c r="X51" s="36" t="s">
        <v>14</v>
      </c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6"/>
      <c r="AK51" s="36"/>
      <c r="AL51" s="36"/>
      <c r="AM51" s="2"/>
      <c r="AN51" s="32"/>
      <c r="AO51" s="2"/>
      <c r="AP51" s="2" t="s">
        <v>28</v>
      </c>
    </row>
    <row r="52" spans="1:42">
      <c r="B52" s="2" t="s">
        <v>15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 t="s">
        <v>28</v>
      </c>
      <c r="W52" s="35"/>
      <c r="X52" s="36" t="s">
        <v>15</v>
      </c>
      <c r="Y52" s="36"/>
      <c r="Z52" s="36"/>
      <c r="AA52" s="36"/>
      <c r="AB52" s="36"/>
      <c r="AC52" s="36"/>
      <c r="AD52" s="36"/>
      <c r="AE52" s="36"/>
      <c r="AF52" s="36"/>
      <c r="AG52" s="36"/>
      <c r="AH52" s="36"/>
      <c r="AI52" s="36"/>
      <c r="AJ52" s="36"/>
      <c r="AK52" s="36"/>
      <c r="AL52" s="36"/>
      <c r="AM52" s="2"/>
      <c r="AN52" s="32"/>
      <c r="AO52" s="2"/>
      <c r="AP52" s="2" t="s">
        <v>28</v>
      </c>
    </row>
    <row r="53" spans="1:42" s="6" customFormat="1">
      <c r="B53" s="5" t="s">
        <v>34</v>
      </c>
      <c r="C53" s="5" t="s">
        <v>19</v>
      </c>
      <c r="D53" s="5"/>
      <c r="E53" s="5" t="s">
        <v>18</v>
      </c>
      <c r="F53" s="5"/>
      <c r="G53" s="5" t="s">
        <v>20</v>
      </c>
      <c r="H53" s="5"/>
      <c r="I53" s="5"/>
      <c r="J53" s="5"/>
      <c r="K53" s="5"/>
      <c r="L53" s="5"/>
      <c r="M53" s="5" t="s">
        <v>47</v>
      </c>
      <c r="N53" s="5" t="s">
        <v>52</v>
      </c>
      <c r="O53" s="5" t="s">
        <v>57</v>
      </c>
      <c r="P53" s="5"/>
      <c r="Q53" s="7">
        <v>0.6</v>
      </c>
      <c r="R53" s="7">
        <v>0.6</v>
      </c>
      <c r="S53" s="5" t="s">
        <v>26</v>
      </c>
      <c r="U53" s="26"/>
      <c r="W53" s="35"/>
      <c r="X53" s="36" t="s">
        <v>34</v>
      </c>
      <c r="Y53" s="36" t="s">
        <v>19</v>
      </c>
      <c r="Z53" s="36"/>
      <c r="AA53" s="36" t="s">
        <v>18</v>
      </c>
      <c r="AB53" s="36"/>
      <c r="AC53" s="36" t="s">
        <v>20</v>
      </c>
      <c r="AD53" s="36"/>
      <c r="AE53" s="36"/>
      <c r="AF53" s="36"/>
      <c r="AG53" s="36"/>
      <c r="AH53" s="36"/>
      <c r="AI53" s="36" t="s">
        <v>47</v>
      </c>
      <c r="AJ53" s="36" t="s">
        <v>52</v>
      </c>
      <c r="AK53" s="36" t="s">
        <v>57</v>
      </c>
      <c r="AL53" s="36"/>
      <c r="AM53" s="7">
        <v>0.6</v>
      </c>
      <c r="AN53" s="32">
        <v>1</v>
      </c>
      <c r="AO53" s="7"/>
      <c r="AP53" s="5" t="s">
        <v>26</v>
      </c>
    </row>
    <row r="54" spans="1:42">
      <c r="W54" s="35"/>
      <c r="X54" s="35"/>
      <c r="Y54" s="35"/>
      <c r="Z54" s="35"/>
      <c r="AA54" s="35"/>
      <c r="AB54" s="35"/>
      <c r="AC54" s="35"/>
      <c r="AD54" s="35"/>
      <c r="AE54" s="35"/>
      <c r="AF54" s="35"/>
      <c r="AG54" s="35"/>
      <c r="AH54" s="35"/>
      <c r="AI54" s="35"/>
      <c r="AJ54" s="35"/>
      <c r="AK54" s="35"/>
      <c r="AL54" s="35"/>
    </row>
    <row r="55" spans="1:42">
      <c r="A55" s="99" t="s">
        <v>66</v>
      </c>
      <c r="B55" s="99"/>
      <c r="C55" s="99"/>
      <c r="W55" s="102" t="s">
        <v>66</v>
      </c>
      <c r="X55" s="102"/>
      <c r="Y55" s="102"/>
      <c r="Z55" s="35"/>
      <c r="AA55" s="35"/>
      <c r="AB55" s="35"/>
      <c r="AC55" s="35"/>
      <c r="AD55" s="35"/>
      <c r="AE55" s="35"/>
      <c r="AF55" s="35"/>
      <c r="AG55" s="35"/>
      <c r="AH55" s="35"/>
      <c r="AI55" s="35"/>
      <c r="AJ55" s="35"/>
      <c r="AK55" s="35"/>
      <c r="AL55" s="35"/>
    </row>
    <row r="56" spans="1:42" s="17" customFormat="1">
      <c r="A56" s="99" t="s">
        <v>64</v>
      </c>
      <c r="B56" s="99"/>
      <c r="U56" s="28"/>
      <c r="W56" s="102" t="s">
        <v>64</v>
      </c>
      <c r="X56" s="102"/>
      <c r="Y56" s="43"/>
      <c r="Z56" s="43"/>
      <c r="AA56" s="43"/>
      <c r="AB56" s="43"/>
      <c r="AC56" s="43"/>
      <c r="AD56" s="43"/>
      <c r="AE56" s="43"/>
      <c r="AF56" s="43"/>
      <c r="AG56" s="43"/>
      <c r="AH56" s="43"/>
      <c r="AI56" s="43"/>
      <c r="AJ56" s="43"/>
      <c r="AK56" s="43"/>
      <c r="AL56" s="43"/>
      <c r="AN56" s="33"/>
    </row>
    <row r="57" spans="1:42" s="17" customFormat="1">
      <c r="B57" s="2" t="s">
        <v>0</v>
      </c>
      <c r="C57" s="2" t="s">
        <v>1</v>
      </c>
      <c r="D57" s="2" t="s">
        <v>4</v>
      </c>
      <c r="E57" s="2" t="s">
        <v>2</v>
      </c>
      <c r="F57" s="2" t="s">
        <v>4</v>
      </c>
      <c r="G57" s="2" t="s">
        <v>3</v>
      </c>
      <c r="H57" s="2" t="s">
        <v>4</v>
      </c>
      <c r="I57" s="2" t="s">
        <v>16</v>
      </c>
      <c r="J57" s="2" t="s">
        <v>4</v>
      </c>
      <c r="K57" s="2" t="s">
        <v>17</v>
      </c>
      <c r="L57" s="2" t="s">
        <v>4</v>
      </c>
      <c r="M57" s="2" t="s">
        <v>37</v>
      </c>
      <c r="N57" s="2" t="s">
        <v>38</v>
      </c>
      <c r="O57" s="2" t="s">
        <v>39</v>
      </c>
      <c r="P57" s="2" t="s">
        <v>36</v>
      </c>
      <c r="Q57" s="2" t="s">
        <v>86</v>
      </c>
      <c r="R57" s="2" t="s">
        <v>87</v>
      </c>
      <c r="S57" s="2" t="s">
        <v>23</v>
      </c>
      <c r="U57" s="28"/>
      <c r="W57" s="43"/>
      <c r="X57" s="36" t="s">
        <v>0</v>
      </c>
      <c r="Y57" s="36" t="s">
        <v>1</v>
      </c>
      <c r="Z57" s="36" t="s">
        <v>4</v>
      </c>
      <c r="AA57" s="36" t="s">
        <v>2</v>
      </c>
      <c r="AB57" s="36" t="s">
        <v>4</v>
      </c>
      <c r="AC57" s="36" t="s">
        <v>3</v>
      </c>
      <c r="AD57" s="36" t="s">
        <v>4</v>
      </c>
      <c r="AE57" s="36" t="s">
        <v>16</v>
      </c>
      <c r="AF57" s="36" t="s">
        <v>4</v>
      </c>
      <c r="AG57" s="36" t="s">
        <v>17</v>
      </c>
      <c r="AH57" s="36" t="s">
        <v>4</v>
      </c>
      <c r="AI57" s="36" t="s">
        <v>37</v>
      </c>
      <c r="AJ57" s="36" t="s">
        <v>38</v>
      </c>
      <c r="AK57" s="36" t="s">
        <v>39</v>
      </c>
      <c r="AL57" s="36" t="s">
        <v>36</v>
      </c>
      <c r="AM57" s="2" t="s">
        <v>86</v>
      </c>
      <c r="AN57" s="32" t="s">
        <v>88</v>
      </c>
      <c r="AO57" s="2" t="s">
        <v>87</v>
      </c>
      <c r="AP57" s="2" t="s">
        <v>23</v>
      </c>
    </row>
    <row r="58" spans="1:42">
      <c r="B58" s="8" t="s">
        <v>7</v>
      </c>
      <c r="C58" s="8" t="s">
        <v>20</v>
      </c>
      <c r="D58" s="8" t="s">
        <v>60</v>
      </c>
      <c r="E58" s="8" t="s">
        <v>18</v>
      </c>
      <c r="F58" s="8"/>
      <c r="G58" s="8" t="s">
        <v>19</v>
      </c>
      <c r="H58" s="8"/>
      <c r="I58" s="8"/>
      <c r="J58" s="8"/>
      <c r="K58" s="8"/>
      <c r="L58" s="8"/>
      <c r="M58" s="16" t="s">
        <v>47</v>
      </c>
      <c r="N58" s="8" t="s">
        <v>48</v>
      </c>
      <c r="O58" s="8" t="s">
        <v>49</v>
      </c>
      <c r="P58" s="8"/>
      <c r="Q58" s="9">
        <v>0.6</v>
      </c>
      <c r="R58" s="9">
        <v>0.6</v>
      </c>
      <c r="S58" s="8" t="s">
        <v>26</v>
      </c>
      <c r="W58" s="35"/>
      <c r="X58" s="36" t="s">
        <v>7</v>
      </c>
      <c r="Y58" s="36" t="s">
        <v>20</v>
      </c>
      <c r="Z58" s="36" t="s">
        <v>60</v>
      </c>
      <c r="AA58" s="36" t="s">
        <v>18</v>
      </c>
      <c r="AB58" s="36"/>
      <c r="AC58" s="36" t="s">
        <v>19</v>
      </c>
      <c r="AD58" s="36"/>
      <c r="AE58" s="36"/>
      <c r="AF58" s="36"/>
      <c r="AG58" s="36"/>
      <c r="AH58" s="36"/>
      <c r="AI58" s="44" t="s">
        <v>47</v>
      </c>
      <c r="AJ58" s="36" t="s">
        <v>48</v>
      </c>
      <c r="AK58" s="36" t="s">
        <v>49</v>
      </c>
      <c r="AL58" s="36"/>
      <c r="AM58" s="9">
        <v>0.6</v>
      </c>
      <c r="AN58" s="32"/>
      <c r="AO58" s="9">
        <v>0.6</v>
      </c>
      <c r="AP58" s="8" t="s">
        <v>26</v>
      </c>
    </row>
    <row r="59" spans="1:42">
      <c r="B59" s="8" t="s">
        <v>8</v>
      </c>
      <c r="C59" s="8" t="s">
        <v>19</v>
      </c>
      <c r="D59" s="19" t="s">
        <v>59</v>
      </c>
      <c r="E59" s="8" t="s">
        <v>21</v>
      </c>
      <c r="F59" s="8"/>
      <c r="G59" s="8" t="s">
        <v>18</v>
      </c>
      <c r="H59" s="8"/>
      <c r="I59" s="8"/>
      <c r="J59" s="8"/>
      <c r="K59" s="8"/>
      <c r="L59" s="8"/>
      <c r="M59" s="8" t="s">
        <v>50</v>
      </c>
      <c r="N59" s="16" t="s">
        <v>52</v>
      </c>
      <c r="O59" s="8" t="s">
        <v>53</v>
      </c>
      <c r="P59" s="8"/>
      <c r="Q59" s="9">
        <v>0.6</v>
      </c>
      <c r="R59" s="9">
        <v>0.6</v>
      </c>
      <c r="S59" s="8" t="s">
        <v>26</v>
      </c>
      <c r="W59" s="35"/>
      <c r="X59" s="36" t="s">
        <v>8</v>
      </c>
      <c r="Y59" s="36" t="s">
        <v>19</v>
      </c>
      <c r="Z59" s="45" t="s">
        <v>59</v>
      </c>
      <c r="AA59" s="36" t="s">
        <v>21</v>
      </c>
      <c r="AB59" s="36"/>
      <c r="AC59" s="36" t="s">
        <v>18</v>
      </c>
      <c r="AD59" s="36"/>
      <c r="AE59" s="36"/>
      <c r="AF59" s="36"/>
      <c r="AG59" s="36"/>
      <c r="AH59" s="36"/>
      <c r="AI59" s="36" t="s">
        <v>50</v>
      </c>
      <c r="AJ59" s="44" t="s">
        <v>52</v>
      </c>
      <c r="AK59" s="36" t="s">
        <v>53</v>
      </c>
      <c r="AL59" s="36"/>
      <c r="AM59" s="9">
        <v>0.6</v>
      </c>
      <c r="AN59" s="32"/>
      <c r="AO59" s="9">
        <v>0.6</v>
      </c>
      <c r="AP59" s="8" t="s">
        <v>26</v>
      </c>
    </row>
    <row r="60" spans="1:42">
      <c r="B60" s="8" t="s">
        <v>9</v>
      </c>
      <c r="C60" s="8" t="s">
        <v>19</v>
      </c>
      <c r="D60" s="19" t="s">
        <v>59</v>
      </c>
      <c r="E60" s="8" t="s">
        <v>20</v>
      </c>
      <c r="F60" s="8"/>
      <c r="G60" s="8" t="s">
        <v>76</v>
      </c>
      <c r="H60" s="8"/>
      <c r="I60" s="8"/>
      <c r="J60" s="8"/>
      <c r="K60" s="8"/>
      <c r="L60" s="8"/>
      <c r="M60" s="8" t="s">
        <v>54</v>
      </c>
      <c r="N60" s="8" t="s">
        <v>56</v>
      </c>
      <c r="O60" s="16" t="s">
        <v>57</v>
      </c>
      <c r="P60" s="8"/>
      <c r="Q60" s="9">
        <v>0.6</v>
      </c>
      <c r="R60" s="9">
        <v>0.6</v>
      </c>
      <c r="S60" s="8" t="s">
        <v>26</v>
      </c>
      <c r="W60" s="35"/>
      <c r="X60" s="36" t="s">
        <v>9</v>
      </c>
      <c r="Y60" s="36" t="s">
        <v>19</v>
      </c>
      <c r="Z60" s="45" t="s">
        <v>59</v>
      </c>
      <c r="AA60" s="36" t="s">
        <v>20</v>
      </c>
      <c r="AB60" s="36"/>
      <c r="AC60" s="36" t="s">
        <v>76</v>
      </c>
      <c r="AD60" s="36"/>
      <c r="AE60" s="36"/>
      <c r="AF60" s="36"/>
      <c r="AG60" s="36"/>
      <c r="AH60" s="36"/>
      <c r="AI60" s="36" t="s">
        <v>54</v>
      </c>
      <c r="AJ60" s="36" t="s">
        <v>56</v>
      </c>
      <c r="AK60" s="44" t="s">
        <v>57</v>
      </c>
      <c r="AL60" s="36"/>
      <c r="AM60" s="9">
        <v>0.6</v>
      </c>
      <c r="AN60" s="32"/>
      <c r="AO60" s="9">
        <v>0.6</v>
      </c>
      <c r="AP60" s="8" t="s">
        <v>26</v>
      </c>
    </row>
    <row r="61" spans="1:42">
      <c r="B61" s="8" t="s">
        <v>11</v>
      </c>
      <c r="C61" s="8" t="s">
        <v>19</v>
      </c>
      <c r="D61" s="19" t="s">
        <v>59</v>
      </c>
      <c r="E61" s="8" t="s">
        <v>73</v>
      </c>
      <c r="F61" s="8"/>
      <c r="G61" s="8" t="s">
        <v>20</v>
      </c>
      <c r="H61" s="8"/>
      <c r="I61" s="8"/>
      <c r="J61" s="8"/>
      <c r="K61" s="8"/>
      <c r="L61" s="8"/>
      <c r="M61" s="16" t="s">
        <v>47</v>
      </c>
      <c r="N61" s="16" t="s">
        <v>52</v>
      </c>
      <c r="O61" s="8" t="s">
        <v>56</v>
      </c>
      <c r="P61" s="8"/>
      <c r="Q61" s="9">
        <v>0.6</v>
      </c>
      <c r="R61" s="9">
        <v>0.6</v>
      </c>
      <c r="S61" s="8" t="s">
        <v>26</v>
      </c>
      <c r="W61" s="35"/>
      <c r="X61" s="36" t="s">
        <v>11</v>
      </c>
      <c r="Y61" s="36" t="s">
        <v>19</v>
      </c>
      <c r="Z61" s="45" t="s">
        <v>59</v>
      </c>
      <c r="AA61" s="36" t="s">
        <v>73</v>
      </c>
      <c r="AB61" s="36"/>
      <c r="AC61" s="36" t="s">
        <v>20</v>
      </c>
      <c r="AD61" s="36"/>
      <c r="AE61" s="36"/>
      <c r="AF61" s="36"/>
      <c r="AG61" s="36"/>
      <c r="AH61" s="36"/>
      <c r="AI61" s="44" t="s">
        <v>47</v>
      </c>
      <c r="AJ61" s="44" t="s">
        <v>52</v>
      </c>
      <c r="AK61" s="36" t="s">
        <v>56</v>
      </c>
      <c r="AL61" s="36"/>
      <c r="AM61" s="9">
        <v>0.6</v>
      </c>
      <c r="AN61" s="32"/>
      <c r="AO61" s="9">
        <v>0.6</v>
      </c>
      <c r="AP61" s="8" t="s">
        <v>26</v>
      </c>
    </row>
    <row r="62" spans="1:42"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5"/>
      <c r="AH62" s="35"/>
      <c r="AI62" s="35"/>
      <c r="AJ62" s="35"/>
      <c r="AK62" s="35"/>
      <c r="AL62" s="35"/>
    </row>
    <row r="63" spans="1:42" s="6" customFormat="1">
      <c r="B63" s="5" t="s">
        <v>34</v>
      </c>
      <c r="C63" s="5" t="s">
        <v>19</v>
      </c>
      <c r="D63" s="5"/>
      <c r="E63" s="5" t="s">
        <v>18</v>
      </c>
      <c r="F63" s="5"/>
      <c r="G63" s="5" t="s">
        <v>20</v>
      </c>
      <c r="H63" s="5"/>
      <c r="I63" s="5"/>
      <c r="J63" s="5"/>
      <c r="K63" s="5"/>
      <c r="L63" s="5"/>
      <c r="M63" s="18" t="s">
        <v>47</v>
      </c>
      <c r="N63" s="18" t="s">
        <v>52</v>
      </c>
      <c r="O63" s="18" t="s">
        <v>57</v>
      </c>
      <c r="P63" s="5"/>
      <c r="Q63" s="7">
        <v>0.6</v>
      </c>
      <c r="R63" s="7">
        <v>0.6</v>
      </c>
      <c r="S63" s="5" t="s">
        <v>26</v>
      </c>
      <c r="U63" s="26"/>
      <c r="W63" s="35"/>
      <c r="X63" s="36" t="s">
        <v>34</v>
      </c>
      <c r="Y63" s="36" t="s">
        <v>19</v>
      </c>
      <c r="Z63" s="36"/>
      <c r="AA63" s="36" t="s">
        <v>18</v>
      </c>
      <c r="AB63" s="36"/>
      <c r="AC63" s="36" t="s">
        <v>20</v>
      </c>
      <c r="AD63" s="36"/>
      <c r="AE63" s="36"/>
      <c r="AF63" s="36"/>
      <c r="AG63" s="36"/>
      <c r="AH63" s="36"/>
      <c r="AI63" s="44" t="s">
        <v>47</v>
      </c>
      <c r="AJ63" s="44" t="s">
        <v>52</v>
      </c>
      <c r="AK63" s="44" t="s">
        <v>57</v>
      </c>
      <c r="AL63" s="36"/>
      <c r="AM63" s="7">
        <v>0.6</v>
      </c>
      <c r="AN63" s="32"/>
      <c r="AO63" s="7"/>
      <c r="AP63" s="5" t="s">
        <v>26</v>
      </c>
    </row>
    <row r="64" spans="1:42">
      <c r="W64" s="35"/>
      <c r="X64" s="35"/>
      <c r="Y64" s="35"/>
      <c r="Z64" s="35"/>
      <c r="AA64" s="35"/>
      <c r="AB64" s="35"/>
      <c r="AC64" s="35"/>
      <c r="AD64" s="35"/>
      <c r="AE64" s="35"/>
      <c r="AF64" s="35"/>
      <c r="AG64" s="35"/>
      <c r="AH64" s="35"/>
      <c r="AI64" s="35"/>
      <c r="AJ64" s="35"/>
      <c r="AK64" s="35"/>
      <c r="AL64" s="35"/>
    </row>
    <row r="65" spans="1:42">
      <c r="A65" s="99" t="s">
        <v>67</v>
      </c>
      <c r="B65" s="99"/>
      <c r="C65" s="99"/>
      <c r="W65" s="102" t="s">
        <v>67</v>
      </c>
      <c r="X65" s="102"/>
      <c r="Y65" s="102"/>
      <c r="Z65" s="35"/>
      <c r="AA65" s="35"/>
      <c r="AB65" s="35"/>
      <c r="AC65" s="35"/>
      <c r="AD65" s="35"/>
      <c r="AE65" s="35"/>
      <c r="AF65" s="35"/>
      <c r="AG65" s="35"/>
      <c r="AH65" s="35"/>
      <c r="AI65" s="35"/>
      <c r="AJ65" s="35"/>
      <c r="AK65" s="35"/>
      <c r="AL65" s="35"/>
    </row>
    <row r="66" spans="1:42" s="17" customFormat="1">
      <c r="A66" s="99" t="s">
        <v>65</v>
      </c>
      <c r="B66" s="99"/>
      <c r="U66" s="28"/>
      <c r="W66" s="102" t="s">
        <v>65</v>
      </c>
      <c r="X66" s="102"/>
      <c r="Y66" s="43"/>
      <c r="Z66" s="43"/>
      <c r="AA66" s="43"/>
      <c r="AB66" s="43"/>
      <c r="AC66" s="43"/>
      <c r="AD66" s="43"/>
      <c r="AE66" s="43"/>
      <c r="AF66" s="43"/>
      <c r="AG66" s="43"/>
      <c r="AH66" s="43"/>
      <c r="AI66" s="43"/>
      <c r="AJ66" s="43"/>
      <c r="AK66" s="43"/>
      <c r="AL66" s="43"/>
      <c r="AN66" s="33"/>
    </row>
    <row r="67" spans="1:42" s="17" customFormat="1">
      <c r="B67" s="2" t="s">
        <v>0</v>
      </c>
      <c r="C67" s="2" t="s">
        <v>1</v>
      </c>
      <c r="D67" s="2" t="s">
        <v>4</v>
      </c>
      <c r="E67" s="2" t="s">
        <v>2</v>
      </c>
      <c r="F67" s="2" t="s">
        <v>4</v>
      </c>
      <c r="G67" s="2" t="s">
        <v>3</v>
      </c>
      <c r="H67" s="2" t="s">
        <v>4</v>
      </c>
      <c r="I67" s="2" t="s">
        <v>16</v>
      </c>
      <c r="J67" s="2" t="s">
        <v>4</v>
      </c>
      <c r="K67" s="2" t="s">
        <v>17</v>
      </c>
      <c r="L67" s="2" t="s">
        <v>4</v>
      </c>
      <c r="M67" s="2" t="s">
        <v>37</v>
      </c>
      <c r="N67" s="2" t="s">
        <v>38</v>
      </c>
      <c r="O67" s="2" t="s">
        <v>39</v>
      </c>
      <c r="P67" s="2" t="s">
        <v>36</v>
      </c>
      <c r="Q67" s="2" t="s">
        <v>86</v>
      </c>
      <c r="R67" s="2" t="s">
        <v>87</v>
      </c>
      <c r="S67" s="2" t="s">
        <v>23</v>
      </c>
      <c r="U67" s="28"/>
      <c r="W67" s="43"/>
      <c r="X67" s="36" t="s">
        <v>0</v>
      </c>
      <c r="Y67" s="36" t="s">
        <v>1</v>
      </c>
      <c r="Z67" s="36" t="s">
        <v>4</v>
      </c>
      <c r="AA67" s="36" t="s">
        <v>2</v>
      </c>
      <c r="AB67" s="36" t="s">
        <v>4</v>
      </c>
      <c r="AC67" s="36" t="s">
        <v>3</v>
      </c>
      <c r="AD67" s="36" t="s">
        <v>4</v>
      </c>
      <c r="AE67" s="36" t="s">
        <v>16</v>
      </c>
      <c r="AF67" s="36" t="s">
        <v>4</v>
      </c>
      <c r="AG67" s="36" t="s">
        <v>17</v>
      </c>
      <c r="AH67" s="36" t="s">
        <v>4</v>
      </c>
      <c r="AI67" s="36" t="s">
        <v>37</v>
      </c>
      <c r="AJ67" s="36" t="s">
        <v>38</v>
      </c>
      <c r="AK67" s="36" t="s">
        <v>39</v>
      </c>
      <c r="AL67" s="36" t="s">
        <v>36</v>
      </c>
      <c r="AM67" s="2" t="s">
        <v>86</v>
      </c>
      <c r="AN67" s="32" t="s">
        <v>88</v>
      </c>
      <c r="AO67" s="2" t="s">
        <v>87</v>
      </c>
      <c r="AP67" s="2" t="s">
        <v>23</v>
      </c>
    </row>
    <row r="68" spans="1:42">
      <c r="B68" s="8" t="s">
        <v>8</v>
      </c>
      <c r="C68" s="16" t="s">
        <v>19</v>
      </c>
      <c r="D68" s="16" t="s">
        <v>59</v>
      </c>
      <c r="E68" s="8" t="s">
        <v>21</v>
      </c>
      <c r="F68" s="8"/>
      <c r="G68" s="8" t="s">
        <v>18</v>
      </c>
      <c r="H68" s="8" t="s">
        <v>74</v>
      </c>
      <c r="I68" s="8"/>
      <c r="J68" s="8"/>
      <c r="K68" s="8"/>
      <c r="L68" s="8"/>
      <c r="M68" s="19" t="s">
        <v>50</v>
      </c>
      <c r="N68" s="19" t="s">
        <v>52</v>
      </c>
      <c r="O68" s="19" t="s">
        <v>53</v>
      </c>
      <c r="P68" s="8"/>
      <c r="Q68" s="9">
        <v>0.6</v>
      </c>
      <c r="R68" s="9">
        <v>0.6</v>
      </c>
      <c r="S68" s="8" t="s">
        <v>26</v>
      </c>
      <c r="W68" s="35"/>
      <c r="X68" s="36" t="s">
        <v>8</v>
      </c>
      <c r="Y68" s="44" t="s">
        <v>19</v>
      </c>
      <c r="Z68" s="44" t="s">
        <v>59</v>
      </c>
      <c r="AA68" s="36" t="s">
        <v>21</v>
      </c>
      <c r="AB68" s="36"/>
      <c r="AC68" s="36" t="s">
        <v>18</v>
      </c>
      <c r="AD68" s="36" t="s">
        <v>74</v>
      </c>
      <c r="AE68" s="36"/>
      <c r="AF68" s="36"/>
      <c r="AG68" s="36"/>
      <c r="AH68" s="36"/>
      <c r="AI68" s="45" t="s">
        <v>50</v>
      </c>
      <c r="AJ68" s="45" t="s">
        <v>52</v>
      </c>
      <c r="AK68" s="45" t="s">
        <v>53</v>
      </c>
      <c r="AL68" s="36"/>
      <c r="AM68" s="9">
        <v>0.6</v>
      </c>
      <c r="AN68" s="32"/>
      <c r="AO68" s="9">
        <v>0.6</v>
      </c>
      <c r="AP68" s="8" t="s">
        <v>26</v>
      </c>
    </row>
    <row r="69" spans="1:42">
      <c r="B69" s="8" t="s">
        <v>9</v>
      </c>
      <c r="C69" s="16" t="s">
        <v>19</v>
      </c>
      <c r="D69" s="16" t="s">
        <v>59</v>
      </c>
      <c r="E69" s="8" t="s">
        <v>20</v>
      </c>
      <c r="F69" s="8"/>
      <c r="G69" s="8" t="s">
        <v>76</v>
      </c>
      <c r="H69" s="8"/>
      <c r="I69" s="8"/>
      <c r="J69" s="8"/>
      <c r="K69" s="8"/>
      <c r="L69" s="8"/>
      <c r="M69" s="19" t="s">
        <v>54</v>
      </c>
      <c r="N69" s="19" t="s">
        <v>56</v>
      </c>
      <c r="O69" s="19" t="s">
        <v>57</v>
      </c>
      <c r="P69" s="8"/>
      <c r="Q69" s="9">
        <v>0.6</v>
      </c>
      <c r="R69" s="9">
        <v>0.6</v>
      </c>
      <c r="S69" s="8" t="s">
        <v>26</v>
      </c>
      <c r="W69" s="35"/>
      <c r="X69" s="36" t="s">
        <v>9</v>
      </c>
      <c r="Y69" s="44" t="s">
        <v>19</v>
      </c>
      <c r="Z69" s="44" t="s">
        <v>59</v>
      </c>
      <c r="AA69" s="36" t="s">
        <v>20</v>
      </c>
      <c r="AB69" s="36"/>
      <c r="AC69" s="36" t="s">
        <v>76</v>
      </c>
      <c r="AD69" s="36"/>
      <c r="AE69" s="36"/>
      <c r="AF69" s="36"/>
      <c r="AG69" s="36"/>
      <c r="AH69" s="36"/>
      <c r="AI69" s="45" t="s">
        <v>54</v>
      </c>
      <c r="AJ69" s="45" t="s">
        <v>56</v>
      </c>
      <c r="AK69" s="45" t="s">
        <v>57</v>
      </c>
      <c r="AL69" s="36"/>
      <c r="AM69" s="9">
        <v>0.6</v>
      </c>
      <c r="AN69" s="32"/>
      <c r="AO69" s="9">
        <v>0.6</v>
      </c>
      <c r="AP69" s="8" t="s">
        <v>26</v>
      </c>
    </row>
    <row r="70" spans="1:42">
      <c r="B70" s="8" t="s">
        <v>11</v>
      </c>
      <c r="C70" s="16" t="s">
        <v>19</v>
      </c>
      <c r="D70" s="16" t="s">
        <v>59</v>
      </c>
      <c r="E70" s="8" t="s">
        <v>73</v>
      </c>
      <c r="F70" s="8" t="s">
        <v>74</v>
      </c>
      <c r="G70" s="8" t="s">
        <v>20</v>
      </c>
      <c r="H70" s="8"/>
      <c r="I70" s="8"/>
      <c r="J70" s="8"/>
      <c r="K70" s="8"/>
      <c r="L70" s="8"/>
      <c r="M70" s="19" t="s">
        <v>47</v>
      </c>
      <c r="N70" s="19" t="s">
        <v>52</v>
      </c>
      <c r="O70" s="19" t="s">
        <v>56</v>
      </c>
      <c r="P70" s="8"/>
      <c r="Q70" s="9">
        <v>0.6</v>
      </c>
      <c r="R70" s="9">
        <v>0.6</v>
      </c>
      <c r="S70" s="8" t="s">
        <v>26</v>
      </c>
      <c r="W70" s="35"/>
      <c r="X70" s="36" t="s">
        <v>11</v>
      </c>
      <c r="Y70" s="44" t="s">
        <v>19</v>
      </c>
      <c r="Z70" s="44" t="s">
        <v>59</v>
      </c>
      <c r="AA70" s="36" t="s">
        <v>73</v>
      </c>
      <c r="AB70" s="36" t="s">
        <v>74</v>
      </c>
      <c r="AC70" s="36" t="s">
        <v>20</v>
      </c>
      <c r="AD70" s="36"/>
      <c r="AE70" s="36"/>
      <c r="AF70" s="36"/>
      <c r="AG70" s="36"/>
      <c r="AH70" s="36"/>
      <c r="AI70" s="45" t="s">
        <v>47</v>
      </c>
      <c r="AJ70" s="45" t="s">
        <v>52</v>
      </c>
      <c r="AK70" s="45" t="s">
        <v>56</v>
      </c>
      <c r="AL70" s="36"/>
      <c r="AM70" s="9">
        <v>0.6</v>
      </c>
      <c r="AN70" s="32"/>
      <c r="AO70" s="9">
        <v>0.6</v>
      </c>
      <c r="AP70" s="8" t="s">
        <v>26</v>
      </c>
    </row>
    <row r="71" spans="1:42">
      <c r="M71" s="20"/>
      <c r="N71" s="20"/>
      <c r="O71" s="20"/>
      <c r="W71" s="35"/>
      <c r="X71" s="35"/>
      <c r="Y71" s="35"/>
      <c r="Z71" s="35"/>
      <c r="AA71" s="35"/>
      <c r="AB71" s="35"/>
      <c r="AC71" s="35"/>
      <c r="AD71" s="35"/>
      <c r="AE71" s="35"/>
      <c r="AF71" s="35"/>
      <c r="AG71" s="35"/>
      <c r="AH71" s="35"/>
      <c r="AI71" s="46"/>
      <c r="AJ71" s="46"/>
      <c r="AK71" s="46"/>
      <c r="AL71" s="35"/>
    </row>
    <row r="72" spans="1:42" s="6" customFormat="1">
      <c r="B72" s="5" t="s">
        <v>34</v>
      </c>
      <c r="C72" s="18" t="s">
        <v>19</v>
      </c>
      <c r="D72" s="18" t="s">
        <v>59</v>
      </c>
      <c r="E72" s="5" t="s">
        <v>18</v>
      </c>
      <c r="F72" s="5" t="s">
        <v>74</v>
      </c>
      <c r="G72" s="5" t="s">
        <v>20</v>
      </c>
      <c r="H72" s="5"/>
      <c r="I72" s="5"/>
      <c r="J72" s="5"/>
      <c r="K72" s="5"/>
      <c r="L72" s="5"/>
      <c r="M72" s="21" t="s">
        <v>47</v>
      </c>
      <c r="N72" s="21" t="s">
        <v>52</v>
      </c>
      <c r="O72" s="21" t="s">
        <v>57</v>
      </c>
      <c r="P72" s="5"/>
      <c r="Q72" s="7">
        <v>0.6</v>
      </c>
      <c r="R72" s="7">
        <v>0.6</v>
      </c>
      <c r="S72" s="5" t="s">
        <v>26</v>
      </c>
      <c r="U72" s="26"/>
      <c r="W72" s="35"/>
      <c r="X72" s="36" t="s">
        <v>34</v>
      </c>
      <c r="Y72" s="44" t="s">
        <v>19</v>
      </c>
      <c r="Z72" s="44" t="s">
        <v>59</v>
      </c>
      <c r="AA72" s="36" t="s">
        <v>18</v>
      </c>
      <c r="AB72" s="36" t="s">
        <v>74</v>
      </c>
      <c r="AC72" s="36" t="s">
        <v>20</v>
      </c>
      <c r="AD72" s="36"/>
      <c r="AE72" s="36"/>
      <c r="AF72" s="36"/>
      <c r="AG72" s="36"/>
      <c r="AH72" s="36"/>
      <c r="AI72" s="45" t="s">
        <v>47</v>
      </c>
      <c r="AJ72" s="45" t="s">
        <v>52</v>
      </c>
      <c r="AK72" s="45" t="s">
        <v>57</v>
      </c>
      <c r="AL72" s="36"/>
      <c r="AM72" s="7">
        <v>0.6</v>
      </c>
      <c r="AN72" s="32"/>
      <c r="AO72" s="7"/>
      <c r="AP72" s="5" t="s">
        <v>26</v>
      </c>
    </row>
    <row r="73" spans="1:42">
      <c r="W73" s="35"/>
      <c r="X73" s="35"/>
      <c r="Y73" s="35"/>
      <c r="Z73" s="35"/>
      <c r="AA73" s="35"/>
      <c r="AB73" s="35"/>
      <c r="AC73" s="35"/>
      <c r="AD73" s="35"/>
      <c r="AE73" s="35"/>
      <c r="AF73" s="35"/>
      <c r="AG73" s="35"/>
      <c r="AH73" s="35"/>
      <c r="AI73" s="35"/>
      <c r="AJ73" s="35"/>
      <c r="AK73" s="35"/>
      <c r="AL73" s="35"/>
    </row>
    <row r="74" spans="1:42">
      <c r="A74" s="99" t="s">
        <v>69</v>
      </c>
      <c r="B74" s="99"/>
      <c r="C74" s="99"/>
      <c r="W74" s="102" t="s">
        <v>69</v>
      </c>
      <c r="X74" s="102"/>
      <c r="Y74" s="102"/>
      <c r="Z74" s="35"/>
      <c r="AA74" s="35"/>
      <c r="AB74" s="35"/>
      <c r="AC74" s="35"/>
      <c r="AD74" s="35"/>
      <c r="AE74" s="35"/>
      <c r="AF74" s="35"/>
      <c r="AG74" s="35"/>
      <c r="AH74" s="35"/>
      <c r="AI74" s="35"/>
      <c r="AJ74" s="35"/>
      <c r="AK74" s="35"/>
      <c r="AL74" s="35"/>
    </row>
    <row r="75" spans="1:42">
      <c r="A75" s="99" t="s">
        <v>68</v>
      </c>
      <c r="B75" s="99"/>
      <c r="W75" s="102" t="s">
        <v>68</v>
      </c>
      <c r="X75" s="102"/>
      <c r="Y75" s="35"/>
      <c r="Z75" s="35"/>
      <c r="AA75" s="35"/>
      <c r="AB75" s="35"/>
      <c r="AC75" s="35"/>
      <c r="AD75" s="35"/>
      <c r="AE75" s="35"/>
      <c r="AF75" s="35"/>
      <c r="AG75" s="35"/>
      <c r="AH75" s="35"/>
      <c r="AI75" s="35"/>
      <c r="AJ75" s="35"/>
      <c r="AK75" s="35"/>
      <c r="AL75" s="35"/>
    </row>
    <row r="76" spans="1:42">
      <c r="A76" s="1" t="s">
        <v>71</v>
      </c>
      <c r="W76" s="35" t="s">
        <v>71</v>
      </c>
      <c r="X76" s="35"/>
      <c r="Y76" s="35"/>
      <c r="Z76" s="35"/>
      <c r="AA76" s="35"/>
      <c r="AB76" s="35"/>
      <c r="AC76" s="35"/>
      <c r="AD76" s="35"/>
      <c r="AE76" s="35"/>
      <c r="AF76" s="35"/>
      <c r="AG76" s="35"/>
      <c r="AH76" s="35"/>
      <c r="AI76" s="35"/>
      <c r="AJ76" s="35"/>
      <c r="AK76" s="35"/>
      <c r="AL76" s="35"/>
    </row>
    <row r="77" spans="1:42">
      <c r="A77" s="17" t="s">
        <v>70</v>
      </c>
      <c r="W77" s="43" t="s">
        <v>70</v>
      </c>
      <c r="X77" s="35"/>
      <c r="Y77" s="35"/>
      <c r="Z77" s="35"/>
      <c r="AA77" s="35"/>
      <c r="AB77" s="35"/>
      <c r="AC77" s="35"/>
      <c r="AD77" s="35"/>
      <c r="AE77" s="35"/>
      <c r="AF77" s="35"/>
      <c r="AG77" s="35"/>
      <c r="AH77" s="35"/>
      <c r="AI77" s="35"/>
      <c r="AJ77" s="35"/>
      <c r="AK77" s="35"/>
      <c r="AL77" s="35"/>
    </row>
    <row r="78" spans="1:42" s="17" customFormat="1">
      <c r="B78" s="2" t="s">
        <v>0</v>
      </c>
      <c r="C78" s="2" t="s">
        <v>1</v>
      </c>
      <c r="D78" s="2" t="s">
        <v>4</v>
      </c>
      <c r="E78" s="2" t="s">
        <v>2</v>
      </c>
      <c r="F78" s="2" t="s">
        <v>4</v>
      </c>
      <c r="G78" s="2" t="s">
        <v>3</v>
      </c>
      <c r="H78" s="2" t="s">
        <v>4</v>
      </c>
      <c r="I78" s="2" t="s">
        <v>16</v>
      </c>
      <c r="J78" s="2" t="s">
        <v>4</v>
      </c>
      <c r="K78" s="2" t="s">
        <v>17</v>
      </c>
      <c r="L78" s="2" t="s">
        <v>4</v>
      </c>
      <c r="M78" s="2" t="s">
        <v>37</v>
      </c>
      <c r="N78" s="2" t="s">
        <v>38</v>
      </c>
      <c r="O78" s="2" t="s">
        <v>39</v>
      </c>
      <c r="P78" s="2" t="s">
        <v>36</v>
      </c>
      <c r="Q78" s="2" t="s">
        <v>86</v>
      </c>
      <c r="R78" s="2" t="s">
        <v>87</v>
      </c>
      <c r="S78" s="2" t="s">
        <v>23</v>
      </c>
      <c r="U78" s="28"/>
      <c r="W78" s="43"/>
      <c r="X78" s="36" t="s">
        <v>0</v>
      </c>
      <c r="Y78" s="36" t="s">
        <v>1</v>
      </c>
      <c r="Z78" s="36" t="s">
        <v>4</v>
      </c>
      <c r="AA78" s="36" t="s">
        <v>2</v>
      </c>
      <c r="AB78" s="36" t="s">
        <v>4</v>
      </c>
      <c r="AC78" s="36" t="s">
        <v>3</v>
      </c>
      <c r="AD78" s="36" t="s">
        <v>4</v>
      </c>
      <c r="AE78" s="36" t="s">
        <v>16</v>
      </c>
      <c r="AF78" s="36" t="s">
        <v>4</v>
      </c>
      <c r="AG78" s="36" t="s">
        <v>17</v>
      </c>
      <c r="AH78" s="36" t="s">
        <v>4</v>
      </c>
      <c r="AI78" s="36" t="s">
        <v>37</v>
      </c>
      <c r="AJ78" s="36" t="s">
        <v>38</v>
      </c>
      <c r="AK78" s="36" t="s">
        <v>39</v>
      </c>
      <c r="AL78" s="36" t="s">
        <v>36</v>
      </c>
      <c r="AM78" s="2" t="s">
        <v>86</v>
      </c>
      <c r="AN78" s="32" t="s">
        <v>88</v>
      </c>
      <c r="AO78" s="2" t="s">
        <v>87</v>
      </c>
      <c r="AP78" s="2" t="s">
        <v>23</v>
      </c>
    </row>
    <row r="79" spans="1:42">
      <c r="B79" s="8" t="s">
        <v>8</v>
      </c>
      <c r="C79" s="16" t="s">
        <v>19</v>
      </c>
      <c r="D79" s="19" t="s">
        <v>59</v>
      </c>
      <c r="E79" s="8" t="s">
        <v>21</v>
      </c>
      <c r="F79" s="8"/>
      <c r="G79" s="16" t="s">
        <v>18</v>
      </c>
      <c r="H79" s="8" t="s">
        <v>74</v>
      </c>
      <c r="I79" s="8"/>
      <c r="J79" s="8"/>
      <c r="K79" s="8"/>
      <c r="L79" s="8"/>
      <c r="M79" s="19" t="s">
        <v>50</v>
      </c>
      <c r="N79" s="19" t="s">
        <v>52</v>
      </c>
      <c r="O79" s="19" t="s">
        <v>53</v>
      </c>
      <c r="P79" s="8"/>
      <c r="Q79" s="9">
        <v>0.6</v>
      </c>
      <c r="R79" s="9">
        <v>0.6</v>
      </c>
      <c r="S79" s="8" t="s">
        <v>26</v>
      </c>
      <c r="W79" s="35"/>
      <c r="X79" s="36" t="s">
        <v>8</v>
      </c>
      <c r="Y79" s="44" t="s">
        <v>19</v>
      </c>
      <c r="Z79" s="45" t="s">
        <v>59</v>
      </c>
      <c r="AA79" s="36" t="s">
        <v>21</v>
      </c>
      <c r="AB79" s="36"/>
      <c r="AC79" s="44" t="s">
        <v>18</v>
      </c>
      <c r="AD79" s="36" t="s">
        <v>74</v>
      </c>
      <c r="AE79" s="36"/>
      <c r="AF79" s="36"/>
      <c r="AG79" s="36"/>
      <c r="AH79" s="36"/>
      <c r="AI79" s="45" t="s">
        <v>50</v>
      </c>
      <c r="AJ79" s="45" t="s">
        <v>52</v>
      </c>
      <c r="AK79" s="45" t="s">
        <v>53</v>
      </c>
      <c r="AL79" s="36"/>
      <c r="AM79" s="9">
        <v>0.6</v>
      </c>
      <c r="AN79" s="32"/>
      <c r="AO79" s="9">
        <v>0.6</v>
      </c>
      <c r="AP79" s="8" t="s">
        <v>26</v>
      </c>
    </row>
    <row r="80" spans="1:42">
      <c r="B80" s="8" t="s">
        <v>9</v>
      </c>
      <c r="C80" s="16" t="s">
        <v>19</v>
      </c>
      <c r="D80" s="19" t="s">
        <v>59</v>
      </c>
      <c r="E80" s="16" t="s">
        <v>20</v>
      </c>
      <c r="F80" s="8" t="s">
        <v>60</v>
      </c>
      <c r="G80" s="8" t="s">
        <v>76</v>
      </c>
      <c r="H80" s="8"/>
      <c r="I80" s="8"/>
      <c r="J80" s="8"/>
      <c r="K80" s="8"/>
      <c r="L80" s="8"/>
      <c r="M80" s="19" t="s">
        <v>54</v>
      </c>
      <c r="N80" s="19" t="s">
        <v>56</v>
      </c>
      <c r="O80" s="19" t="s">
        <v>57</v>
      </c>
      <c r="P80" s="8"/>
      <c r="Q80" s="9">
        <v>0.6</v>
      </c>
      <c r="R80" s="9">
        <v>0.6</v>
      </c>
      <c r="S80" s="8" t="s">
        <v>26</v>
      </c>
      <c r="W80" s="35"/>
      <c r="X80" s="36" t="s">
        <v>9</v>
      </c>
      <c r="Y80" s="44" t="s">
        <v>19</v>
      </c>
      <c r="Z80" s="45" t="s">
        <v>59</v>
      </c>
      <c r="AA80" s="44" t="s">
        <v>20</v>
      </c>
      <c r="AB80" s="36" t="s">
        <v>60</v>
      </c>
      <c r="AC80" s="36" t="s">
        <v>76</v>
      </c>
      <c r="AD80" s="36"/>
      <c r="AE80" s="36"/>
      <c r="AF80" s="36"/>
      <c r="AG80" s="36"/>
      <c r="AH80" s="36"/>
      <c r="AI80" s="45" t="s">
        <v>54</v>
      </c>
      <c r="AJ80" s="45" t="s">
        <v>56</v>
      </c>
      <c r="AK80" s="45" t="s">
        <v>57</v>
      </c>
      <c r="AL80" s="36"/>
      <c r="AM80" s="9">
        <v>0.6</v>
      </c>
      <c r="AN80" s="32"/>
      <c r="AO80" s="9">
        <v>0.6</v>
      </c>
      <c r="AP80" s="8" t="s">
        <v>26</v>
      </c>
    </row>
    <row r="81" spans="1:42">
      <c r="B81" s="8" t="s">
        <v>11</v>
      </c>
      <c r="C81" s="16" t="s">
        <v>19</v>
      </c>
      <c r="D81" s="19" t="s">
        <v>59</v>
      </c>
      <c r="E81" s="16" t="s">
        <v>73</v>
      </c>
      <c r="F81" s="8" t="s">
        <v>74</v>
      </c>
      <c r="G81" s="16" t="s">
        <v>20</v>
      </c>
      <c r="H81" s="8" t="s">
        <v>75</v>
      </c>
      <c r="I81" s="8"/>
      <c r="J81" s="8"/>
      <c r="K81" s="8"/>
      <c r="L81" s="8"/>
      <c r="M81" s="19" t="s">
        <v>47</v>
      </c>
      <c r="N81" s="19" t="s">
        <v>52</v>
      </c>
      <c r="O81" s="19" t="s">
        <v>56</v>
      </c>
      <c r="P81" s="8"/>
      <c r="Q81" s="9">
        <v>0.6</v>
      </c>
      <c r="R81" s="9">
        <v>0.6</v>
      </c>
      <c r="S81" s="8" t="s">
        <v>26</v>
      </c>
      <c r="W81" s="35"/>
      <c r="X81" s="36" t="s">
        <v>11</v>
      </c>
      <c r="Y81" s="44" t="s">
        <v>19</v>
      </c>
      <c r="Z81" s="45" t="s">
        <v>59</v>
      </c>
      <c r="AA81" s="44" t="s">
        <v>73</v>
      </c>
      <c r="AB81" s="36" t="s">
        <v>74</v>
      </c>
      <c r="AC81" s="44" t="s">
        <v>20</v>
      </c>
      <c r="AD81" s="36" t="s">
        <v>75</v>
      </c>
      <c r="AE81" s="36"/>
      <c r="AF81" s="36"/>
      <c r="AG81" s="36"/>
      <c r="AH81" s="36"/>
      <c r="AI81" s="45" t="s">
        <v>47</v>
      </c>
      <c r="AJ81" s="45" t="s">
        <v>52</v>
      </c>
      <c r="AK81" s="45" t="s">
        <v>56</v>
      </c>
      <c r="AL81" s="36"/>
      <c r="AM81" s="9">
        <v>0.6</v>
      </c>
      <c r="AN81" s="32"/>
      <c r="AO81" s="9">
        <v>0.6</v>
      </c>
      <c r="AP81" s="8" t="s">
        <v>26</v>
      </c>
    </row>
    <row r="82" spans="1:42">
      <c r="M82" s="20"/>
      <c r="N82" s="20"/>
      <c r="O82" s="20"/>
      <c r="W82" s="35"/>
      <c r="X82" s="35"/>
      <c r="Y82" s="35"/>
      <c r="Z82" s="35"/>
      <c r="AA82" s="35"/>
      <c r="AB82" s="35"/>
      <c r="AC82" s="35"/>
      <c r="AD82" s="35"/>
      <c r="AE82" s="35"/>
      <c r="AF82" s="35"/>
      <c r="AG82" s="35"/>
      <c r="AH82" s="35"/>
      <c r="AI82" s="46"/>
      <c r="AJ82" s="46"/>
      <c r="AK82" s="46"/>
      <c r="AL82" s="35"/>
    </row>
    <row r="83" spans="1:42" s="6" customFormat="1">
      <c r="B83" s="5" t="s">
        <v>34</v>
      </c>
      <c r="C83" s="22" t="s">
        <v>19</v>
      </c>
      <c r="D83" s="21" t="s">
        <v>59</v>
      </c>
      <c r="E83" s="22" t="s">
        <v>73</v>
      </c>
      <c r="F83" s="5" t="s">
        <v>74</v>
      </c>
      <c r="G83" s="22" t="s">
        <v>20</v>
      </c>
      <c r="H83" s="5" t="s">
        <v>60</v>
      </c>
      <c r="I83" s="5"/>
      <c r="J83" s="5"/>
      <c r="K83" s="5"/>
      <c r="L83" s="5"/>
      <c r="M83" s="21" t="s">
        <v>47</v>
      </c>
      <c r="N83" s="21" t="s">
        <v>52</v>
      </c>
      <c r="O83" s="21" t="s">
        <v>57</v>
      </c>
      <c r="P83" s="5"/>
      <c r="Q83" s="7">
        <v>0.6</v>
      </c>
      <c r="R83" s="7">
        <v>0.6</v>
      </c>
      <c r="S83" s="5" t="s">
        <v>26</v>
      </c>
      <c r="U83" s="26"/>
      <c r="W83" s="35"/>
      <c r="X83" s="36" t="s">
        <v>34</v>
      </c>
      <c r="Y83" s="38" t="s">
        <v>19</v>
      </c>
      <c r="Z83" s="45" t="s">
        <v>59</v>
      </c>
      <c r="AA83" s="38" t="s">
        <v>73</v>
      </c>
      <c r="AB83" s="36" t="s">
        <v>74</v>
      </c>
      <c r="AC83" s="38" t="s">
        <v>20</v>
      </c>
      <c r="AD83" s="36" t="s">
        <v>60</v>
      </c>
      <c r="AE83" s="36"/>
      <c r="AF83" s="36"/>
      <c r="AG83" s="36"/>
      <c r="AH83" s="36"/>
      <c r="AI83" s="45" t="s">
        <v>47</v>
      </c>
      <c r="AJ83" s="45" t="s">
        <v>52</v>
      </c>
      <c r="AK83" s="45" t="s">
        <v>57</v>
      </c>
      <c r="AL83" s="36"/>
      <c r="AM83" s="7">
        <v>0.6</v>
      </c>
      <c r="AN83" s="32"/>
      <c r="AO83" s="7"/>
      <c r="AP83" s="5" t="s">
        <v>26</v>
      </c>
    </row>
    <row r="84" spans="1:42" s="23" customFormat="1">
      <c r="B84" s="23" t="s">
        <v>35</v>
      </c>
      <c r="C84" s="24">
        <v>0.3</v>
      </c>
      <c r="E84" s="24">
        <v>0.2</v>
      </c>
      <c r="G84" s="24">
        <v>0.1</v>
      </c>
      <c r="I84" s="24">
        <v>0.1</v>
      </c>
      <c r="K84" s="24">
        <v>0.1</v>
      </c>
      <c r="U84" s="29"/>
      <c r="W84" s="47"/>
      <c r="X84" s="47" t="s">
        <v>35</v>
      </c>
      <c r="Y84" s="48">
        <v>0.3</v>
      </c>
      <c r="Z84" s="47"/>
      <c r="AA84" s="48">
        <v>0.2</v>
      </c>
      <c r="AB84" s="47"/>
      <c r="AC84" s="48">
        <v>0.1</v>
      </c>
      <c r="AD84" s="47"/>
      <c r="AE84" s="48">
        <v>0.1</v>
      </c>
      <c r="AF84" s="47"/>
      <c r="AG84" s="48">
        <v>0.1</v>
      </c>
      <c r="AH84" s="47"/>
      <c r="AI84" s="47"/>
      <c r="AJ84" s="47"/>
      <c r="AK84" s="47"/>
      <c r="AL84" s="47"/>
      <c r="AN84" s="34"/>
    </row>
    <row r="85" spans="1:42">
      <c r="B85" s="2"/>
      <c r="C85" s="96" t="s">
        <v>72</v>
      </c>
      <c r="D85" s="96"/>
      <c r="E85" s="53" t="s">
        <v>109</v>
      </c>
      <c r="W85" s="35"/>
      <c r="X85" s="36"/>
      <c r="Y85" s="103" t="s">
        <v>72</v>
      </c>
      <c r="Z85" s="103"/>
      <c r="AA85" s="35"/>
      <c r="AB85" s="35"/>
      <c r="AC85" s="35"/>
      <c r="AD85" s="35"/>
      <c r="AE85" s="35"/>
      <c r="AF85" s="35"/>
      <c r="AG85" s="35"/>
      <c r="AH85" s="35"/>
      <c r="AI85" s="35"/>
      <c r="AJ85" s="35"/>
      <c r="AK85" s="35"/>
      <c r="AL85" s="35"/>
    </row>
    <row r="86" spans="1:42">
      <c r="B86" s="2" t="s">
        <v>8</v>
      </c>
      <c r="C86" s="97" t="s">
        <v>77</v>
      </c>
      <c r="D86" s="98"/>
      <c r="E86" s="25" t="s">
        <v>80</v>
      </c>
      <c r="W86" s="35"/>
      <c r="X86" s="36" t="s">
        <v>8</v>
      </c>
      <c r="Y86" s="104" t="s">
        <v>77</v>
      </c>
      <c r="Z86" s="105"/>
      <c r="AA86" s="49" t="s">
        <v>80</v>
      </c>
      <c r="AB86" s="35"/>
      <c r="AC86" s="35"/>
      <c r="AD86" s="35"/>
      <c r="AE86" s="35"/>
      <c r="AF86" s="35"/>
      <c r="AG86" s="35"/>
      <c r="AH86" s="35"/>
      <c r="AI86" s="35"/>
      <c r="AJ86" s="35"/>
      <c r="AK86" s="35"/>
      <c r="AL86" s="35"/>
    </row>
    <row r="87" spans="1:42">
      <c r="B87" s="2" t="s">
        <v>9</v>
      </c>
      <c r="C87" s="96" t="s">
        <v>78</v>
      </c>
      <c r="D87" s="96"/>
      <c r="E87" s="25" t="s">
        <v>81</v>
      </c>
      <c r="W87" s="35"/>
      <c r="X87" s="36" t="s">
        <v>9</v>
      </c>
      <c r="Y87" s="103" t="s">
        <v>78</v>
      </c>
      <c r="Z87" s="103"/>
      <c r="AA87" s="49" t="s">
        <v>81</v>
      </c>
      <c r="AB87" s="35"/>
      <c r="AC87" s="35"/>
      <c r="AD87" s="35"/>
      <c r="AE87" s="35"/>
      <c r="AF87" s="35"/>
      <c r="AG87" s="35"/>
      <c r="AH87" s="35"/>
      <c r="AI87" s="35"/>
      <c r="AJ87" s="35"/>
      <c r="AK87" s="35"/>
      <c r="AL87" s="35"/>
    </row>
    <row r="88" spans="1:42">
      <c r="B88" s="2" t="s">
        <v>11</v>
      </c>
      <c r="C88" s="96" t="s">
        <v>79</v>
      </c>
      <c r="D88" s="96"/>
      <c r="E88" s="25" t="s">
        <v>80</v>
      </c>
      <c r="W88" s="35"/>
      <c r="X88" s="36" t="s">
        <v>11</v>
      </c>
      <c r="Y88" s="103" t="s">
        <v>79</v>
      </c>
      <c r="Z88" s="103"/>
      <c r="AA88" s="49" t="s">
        <v>80</v>
      </c>
      <c r="AB88" s="35"/>
      <c r="AC88" s="35"/>
      <c r="AD88" s="35"/>
      <c r="AE88" s="35"/>
      <c r="AF88" s="35"/>
      <c r="AG88" s="35"/>
      <c r="AH88" s="35"/>
      <c r="AI88" s="35"/>
      <c r="AJ88" s="35"/>
      <c r="AK88" s="35"/>
      <c r="AL88" s="35"/>
    </row>
    <row r="89" spans="1:42">
      <c r="W89" s="35"/>
      <c r="X89" s="35"/>
      <c r="Y89" s="35"/>
      <c r="Z89" s="35"/>
      <c r="AA89" s="35"/>
      <c r="AB89" s="35"/>
      <c r="AC89" s="35"/>
      <c r="AD89" s="35"/>
      <c r="AE89" s="35"/>
      <c r="AF89" s="35"/>
      <c r="AG89" s="35"/>
      <c r="AH89" s="35"/>
      <c r="AI89" s="35"/>
      <c r="AJ89" s="35"/>
      <c r="AK89" s="35"/>
      <c r="AL89" s="35"/>
    </row>
    <row r="90" spans="1:42">
      <c r="A90" s="99" t="s">
        <v>82</v>
      </c>
      <c r="B90" s="99"/>
      <c r="C90" s="99"/>
      <c r="W90" s="102" t="s">
        <v>82</v>
      </c>
      <c r="X90" s="102"/>
      <c r="Y90" s="102"/>
      <c r="Z90" s="35"/>
      <c r="AA90" s="35"/>
      <c r="AB90" s="35"/>
      <c r="AC90" s="35"/>
      <c r="AD90" s="35"/>
      <c r="AE90" s="35"/>
      <c r="AF90" s="35"/>
      <c r="AG90" s="35"/>
      <c r="AH90" s="35"/>
      <c r="AI90" s="35"/>
      <c r="AJ90" s="35"/>
      <c r="AK90" s="35"/>
      <c r="AL90" s="35"/>
    </row>
    <row r="91" spans="1:42">
      <c r="A91" s="1" t="s">
        <v>83</v>
      </c>
      <c r="B91" s="1" t="s">
        <v>84</v>
      </c>
      <c r="C91" s="1" t="s">
        <v>9</v>
      </c>
      <c r="W91" s="35" t="s">
        <v>83</v>
      </c>
      <c r="X91" s="35" t="s">
        <v>84</v>
      </c>
      <c r="Y91" s="35" t="s">
        <v>9</v>
      </c>
      <c r="Z91" s="35"/>
      <c r="AA91" s="35"/>
      <c r="AB91" s="35"/>
      <c r="AC91" s="35"/>
      <c r="AD91" s="35"/>
      <c r="AE91" s="35"/>
      <c r="AF91" s="35"/>
      <c r="AG91" s="35"/>
      <c r="AH91" s="35"/>
      <c r="AI91" s="35"/>
      <c r="AJ91" s="35"/>
      <c r="AK91" s="35"/>
      <c r="AL91" s="35"/>
    </row>
    <row r="93" spans="1:42">
      <c r="W93" s="99" t="s">
        <v>89</v>
      </c>
      <c r="X93" s="99"/>
      <c r="Y93" s="99"/>
      <c r="AN93" s="55" t="s">
        <v>108</v>
      </c>
    </row>
    <row r="94" spans="1:42">
      <c r="X94" s="2" t="s">
        <v>0</v>
      </c>
      <c r="Y94" s="2" t="s">
        <v>90</v>
      </c>
      <c r="Z94" s="2" t="s">
        <v>91</v>
      </c>
      <c r="AA94" s="2" t="s">
        <v>92</v>
      </c>
      <c r="AB94" s="2" t="s">
        <v>93</v>
      </c>
      <c r="AC94" s="2" t="s">
        <v>99</v>
      </c>
      <c r="AD94" s="2" t="s">
        <v>94</v>
      </c>
      <c r="AE94" s="2" t="s">
        <v>95</v>
      </c>
      <c r="AF94" s="2" t="s">
        <v>96</v>
      </c>
      <c r="AM94" s="2" t="s">
        <v>86</v>
      </c>
      <c r="AN94" s="32" t="s">
        <v>88</v>
      </c>
      <c r="AO94" s="2" t="s">
        <v>87</v>
      </c>
      <c r="AP94" s="2" t="s">
        <v>23</v>
      </c>
    </row>
    <row r="95" spans="1:42">
      <c r="X95" s="5" t="s">
        <v>34</v>
      </c>
      <c r="Y95" s="21" t="s">
        <v>97</v>
      </c>
      <c r="Z95" s="21">
        <v>5</v>
      </c>
      <c r="AA95" s="21">
        <v>2</v>
      </c>
      <c r="AB95" s="21" t="s">
        <v>98</v>
      </c>
      <c r="AC95" s="21" t="s">
        <v>100</v>
      </c>
      <c r="AD95" s="21"/>
      <c r="AE95" s="21" t="s">
        <v>101</v>
      </c>
      <c r="AF95" s="21" t="s">
        <v>102</v>
      </c>
      <c r="AG95" s="20"/>
      <c r="AM95" s="7">
        <v>0.6</v>
      </c>
      <c r="AN95" s="7">
        <v>0.9</v>
      </c>
      <c r="AO95" s="64">
        <f>AM95+(AN95*AK2)</f>
        <v>0.78</v>
      </c>
      <c r="AP95" s="60" t="s">
        <v>24</v>
      </c>
    </row>
    <row r="96" spans="1:42">
      <c r="Y96" s="52">
        <v>0.1</v>
      </c>
      <c r="Z96" s="52">
        <v>0.1</v>
      </c>
      <c r="AA96" s="52">
        <v>0.2</v>
      </c>
      <c r="AB96" s="52">
        <v>0.2</v>
      </c>
      <c r="AC96" s="52">
        <v>0.1</v>
      </c>
      <c r="AD96" s="52">
        <v>0.1</v>
      </c>
      <c r="AE96" s="52">
        <v>0.1</v>
      </c>
      <c r="AF96" s="52">
        <v>0.1</v>
      </c>
      <c r="AG96" s="56" t="s">
        <v>107</v>
      </c>
      <c r="AO96" s="54" t="s">
        <v>111</v>
      </c>
    </row>
    <row r="98" spans="4:41">
      <c r="AM98" s="4"/>
      <c r="AN98" s="61"/>
      <c r="AO98" s="59"/>
    </row>
    <row r="99" spans="4:41">
      <c r="D99" s="4"/>
    </row>
    <row r="100" spans="4:41">
      <c r="D100" s="59"/>
    </row>
  </sheetData>
  <mergeCells count="29">
    <mergeCell ref="Y85:Z85"/>
    <mergeCell ref="Y86:Z86"/>
    <mergeCell ref="Y87:Z87"/>
    <mergeCell ref="Y88:Z88"/>
    <mergeCell ref="W90:Y90"/>
    <mergeCell ref="W93:Y93"/>
    <mergeCell ref="A90:C90"/>
    <mergeCell ref="W11:X11"/>
    <mergeCell ref="W25:Y25"/>
    <mergeCell ref="W40:Z40"/>
    <mergeCell ref="W55:Y55"/>
    <mergeCell ref="W56:X56"/>
    <mergeCell ref="W65:Y65"/>
    <mergeCell ref="W66:X66"/>
    <mergeCell ref="W74:Y74"/>
    <mergeCell ref="W75:X75"/>
    <mergeCell ref="A65:C65"/>
    <mergeCell ref="A75:B75"/>
    <mergeCell ref="A74:C74"/>
    <mergeCell ref="C87:D87"/>
    <mergeCell ref="C88:D88"/>
    <mergeCell ref="C85:D85"/>
    <mergeCell ref="C86:D86"/>
    <mergeCell ref="A56:B56"/>
    <mergeCell ref="A66:B66"/>
    <mergeCell ref="A11:B11"/>
    <mergeCell ref="A25:C25"/>
    <mergeCell ref="A40:D40"/>
    <mergeCell ref="A55:C55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3FC0D-9C26-E042-BE57-A9D2902D124A}">
  <sheetPr>
    <tabColor theme="7"/>
  </sheetPr>
  <dimension ref="A1:H65"/>
  <sheetViews>
    <sheetView tabSelected="1" topLeftCell="A47" zoomScale="125" workbookViewId="0">
      <selection activeCell="B64" sqref="B64"/>
    </sheetView>
  </sheetViews>
  <sheetFormatPr baseColWidth="10" defaultRowHeight="15"/>
  <cols>
    <col min="2" max="2" width="12.6640625" customWidth="1"/>
  </cols>
  <sheetData>
    <row r="1" spans="1:7">
      <c r="A1" s="80" t="s">
        <v>213</v>
      </c>
    </row>
    <row r="3" spans="1:7">
      <c r="A3" s="80" t="s">
        <v>204</v>
      </c>
    </row>
    <row r="6" spans="1:7">
      <c r="A6" s="63" t="s">
        <v>189</v>
      </c>
      <c r="B6" s="69"/>
      <c r="C6" s="69" t="s">
        <v>181</v>
      </c>
      <c r="D6" s="69" t="s">
        <v>187</v>
      </c>
      <c r="E6" s="69" t="s">
        <v>184</v>
      </c>
      <c r="F6" s="69" t="s">
        <v>185</v>
      </c>
      <c r="G6" s="69" t="s">
        <v>186</v>
      </c>
    </row>
    <row r="7" spans="1:7">
      <c r="B7" s="69" t="s">
        <v>5</v>
      </c>
      <c r="C7" s="69" t="s">
        <v>182</v>
      </c>
      <c r="D7" s="69" t="s">
        <v>182</v>
      </c>
      <c r="E7" s="2" t="s">
        <v>40</v>
      </c>
      <c r="F7" s="2" t="s">
        <v>41</v>
      </c>
      <c r="G7" s="2" t="s">
        <v>42</v>
      </c>
    </row>
    <row r="8" spans="1:7">
      <c r="B8" s="70" t="s">
        <v>6</v>
      </c>
      <c r="C8" s="71" t="s">
        <v>183</v>
      </c>
      <c r="D8" s="71" t="s">
        <v>183</v>
      </c>
      <c r="E8" s="2" t="s">
        <v>43</v>
      </c>
      <c r="F8" s="2" t="s">
        <v>44</v>
      </c>
      <c r="G8" s="2" t="s">
        <v>45</v>
      </c>
    </row>
    <row r="9" spans="1:7">
      <c r="B9" s="70" t="s">
        <v>7</v>
      </c>
      <c r="C9" s="71" t="s">
        <v>182</v>
      </c>
      <c r="D9" s="71" t="s">
        <v>188</v>
      </c>
      <c r="E9" s="2" t="s">
        <v>47</v>
      </c>
      <c r="F9" s="2" t="s">
        <v>48</v>
      </c>
      <c r="G9" s="2" t="s">
        <v>49</v>
      </c>
    </row>
    <row r="10" spans="1:7">
      <c r="B10" s="69" t="s">
        <v>8</v>
      </c>
      <c r="C10" s="69" t="s">
        <v>182</v>
      </c>
      <c r="D10" s="69" t="s">
        <v>182</v>
      </c>
      <c r="E10" s="2" t="s">
        <v>50</v>
      </c>
      <c r="F10" s="2" t="s">
        <v>52</v>
      </c>
      <c r="G10" s="2" t="s">
        <v>53</v>
      </c>
    </row>
    <row r="11" spans="1:7">
      <c r="B11" s="70" t="s">
        <v>9</v>
      </c>
      <c r="C11" s="71" t="s">
        <v>183</v>
      </c>
      <c r="D11" s="71" t="s">
        <v>188</v>
      </c>
      <c r="E11" s="2" t="s">
        <v>54</v>
      </c>
      <c r="F11" s="2" t="s">
        <v>56</v>
      </c>
      <c r="G11" s="2" t="s">
        <v>57</v>
      </c>
    </row>
    <row r="13" spans="1:7" s="67" customFormat="1">
      <c r="B13" s="76" t="s">
        <v>180</v>
      </c>
      <c r="C13" s="76" t="s">
        <v>183</v>
      </c>
      <c r="D13" s="76" t="s">
        <v>188</v>
      </c>
      <c r="E13" s="76"/>
      <c r="F13" s="76"/>
      <c r="G13" s="76"/>
    </row>
    <row r="14" spans="1:7">
      <c r="B14" s="77" t="s">
        <v>203</v>
      </c>
    </row>
    <row r="16" spans="1:7">
      <c r="A16" s="63" t="s">
        <v>189</v>
      </c>
      <c r="B16" s="69"/>
      <c r="C16" s="69" t="s">
        <v>181</v>
      </c>
      <c r="D16" s="69" t="s">
        <v>187</v>
      </c>
      <c r="E16" s="69" t="s">
        <v>184</v>
      </c>
      <c r="F16" s="69" t="s">
        <v>185</v>
      </c>
      <c r="G16" s="69" t="s">
        <v>186</v>
      </c>
    </row>
    <row r="17" spans="1:7">
      <c r="B17" s="72" t="s">
        <v>5</v>
      </c>
      <c r="C17" s="73" t="s">
        <v>182</v>
      </c>
      <c r="D17" s="73" t="s">
        <v>182</v>
      </c>
      <c r="E17" s="2" t="s">
        <v>40</v>
      </c>
      <c r="F17" s="2" t="s">
        <v>41</v>
      </c>
      <c r="G17" s="2" t="s">
        <v>42</v>
      </c>
    </row>
    <row r="18" spans="1:7">
      <c r="B18" s="71" t="s">
        <v>6</v>
      </c>
      <c r="C18" s="74" t="s">
        <v>183</v>
      </c>
      <c r="D18" s="74" t="s">
        <v>183</v>
      </c>
      <c r="E18" s="75" t="s">
        <v>43</v>
      </c>
      <c r="F18" s="2" t="s">
        <v>44</v>
      </c>
      <c r="G18" s="75" t="s">
        <v>45</v>
      </c>
    </row>
    <row r="19" spans="1:7">
      <c r="B19" s="71" t="s">
        <v>7</v>
      </c>
      <c r="C19" s="74" t="s">
        <v>182</v>
      </c>
      <c r="D19" s="74" t="s">
        <v>188</v>
      </c>
      <c r="E19" s="2" t="s">
        <v>47</v>
      </c>
      <c r="F19" s="75" t="s">
        <v>48</v>
      </c>
      <c r="G19" s="2" t="s">
        <v>49</v>
      </c>
    </row>
    <row r="20" spans="1:7">
      <c r="B20" s="72" t="s">
        <v>8</v>
      </c>
      <c r="C20" s="73" t="s">
        <v>182</v>
      </c>
      <c r="D20" s="73" t="s">
        <v>182</v>
      </c>
      <c r="E20" s="2" t="s">
        <v>50</v>
      </c>
      <c r="F20" s="2" t="s">
        <v>52</v>
      </c>
      <c r="G20" s="2" t="s">
        <v>53</v>
      </c>
    </row>
    <row r="21" spans="1:7">
      <c r="B21" s="74" t="s">
        <v>9</v>
      </c>
      <c r="C21" s="74" t="s">
        <v>183</v>
      </c>
      <c r="D21" s="74" t="s">
        <v>188</v>
      </c>
      <c r="E21" s="2" t="s">
        <v>54</v>
      </c>
      <c r="F21" s="2" t="s">
        <v>56</v>
      </c>
      <c r="G21" s="2" t="s">
        <v>57</v>
      </c>
    </row>
    <row r="23" spans="1:7" s="67" customFormat="1">
      <c r="B23" s="76" t="s">
        <v>180</v>
      </c>
      <c r="C23" s="76" t="s">
        <v>183</v>
      </c>
      <c r="D23" s="76" t="s">
        <v>188</v>
      </c>
      <c r="E23" s="5" t="s">
        <v>43</v>
      </c>
      <c r="F23" s="5" t="s">
        <v>48</v>
      </c>
      <c r="G23" s="5" t="s">
        <v>45</v>
      </c>
    </row>
    <row r="26" spans="1:7">
      <c r="A26" s="63" t="s">
        <v>190</v>
      </c>
      <c r="B26" t="s">
        <v>191</v>
      </c>
    </row>
    <row r="27" spans="1:7">
      <c r="B27" t="s">
        <v>192</v>
      </c>
    </row>
    <row r="28" spans="1:7">
      <c r="B28" t="s">
        <v>209</v>
      </c>
    </row>
    <row r="29" spans="1:7">
      <c r="B29" t="s">
        <v>210</v>
      </c>
    </row>
    <row r="31" spans="1:7">
      <c r="B31" s="69" t="s">
        <v>193</v>
      </c>
      <c r="C31" s="69" t="s">
        <v>194</v>
      </c>
      <c r="D31" s="69" t="s">
        <v>195</v>
      </c>
      <c r="E31" s="69" t="s">
        <v>196</v>
      </c>
      <c r="F31" s="69" t="s">
        <v>197</v>
      </c>
      <c r="G31" s="69" t="s">
        <v>198</v>
      </c>
    </row>
    <row r="32" spans="1:7">
      <c r="B32" s="71" t="s">
        <v>6</v>
      </c>
      <c r="C32" s="69">
        <v>2</v>
      </c>
      <c r="D32" s="69">
        <v>5</v>
      </c>
      <c r="E32" s="69">
        <v>4</v>
      </c>
      <c r="F32" s="69">
        <v>3</v>
      </c>
      <c r="G32" s="69">
        <v>1</v>
      </c>
    </row>
    <row r="33" spans="2:8">
      <c r="B33" s="71" t="s">
        <v>7</v>
      </c>
      <c r="C33" s="69">
        <v>1</v>
      </c>
      <c r="D33" s="69">
        <v>4</v>
      </c>
      <c r="E33" s="79">
        <v>5</v>
      </c>
      <c r="F33" s="69">
        <v>3</v>
      </c>
      <c r="G33" s="69">
        <v>2</v>
      </c>
      <c r="H33" s="78" t="s">
        <v>214</v>
      </c>
    </row>
    <row r="34" spans="2:8">
      <c r="B34" s="71"/>
      <c r="C34" s="69"/>
      <c r="D34" s="69"/>
      <c r="E34" s="69"/>
      <c r="F34" s="69"/>
      <c r="G34" s="69"/>
    </row>
    <row r="35" spans="2:8">
      <c r="B35" s="76" t="s">
        <v>180</v>
      </c>
      <c r="C35" s="69">
        <v>3</v>
      </c>
      <c r="D35" s="69">
        <v>1</v>
      </c>
      <c r="E35" s="69">
        <v>4</v>
      </c>
      <c r="F35" s="69">
        <v>2</v>
      </c>
      <c r="G35" s="69">
        <v>4</v>
      </c>
    </row>
    <row r="36" spans="2:8">
      <c r="B36" s="68"/>
    </row>
    <row r="37" spans="2:8">
      <c r="B37" s="83" t="s">
        <v>264</v>
      </c>
    </row>
    <row r="38" spans="2:8">
      <c r="B38" s="83" t="s">
        <v>257</v>
      </c>
    </row>
    <row r="39" spans="2:8" ht="16">
      <c r="B39" t="s">
        <v>258</v>
      </c>
    </row>
    <row r="40" spans="2:8" ht="16">
      <c r="B40" t="s">
        <v>259</v>
      </c>
    </row>
    <row r="41" spans="2:8" ht="16">
      <c r="B41" t="s">
        <v>199</v>
      </c>
    </row>
    <row r="43" spans="2:8" ht="16">
      <c r="B43" t="s">
        <v>260</v>
      </c>
    </row>
    <row r="44" spans="2:8">
      <c r="B44" t="s">
        <v>201</v>
      </c>
    </row>
    <row r="45" spans="2:8">
      <c r="B45" t="s">
        <v>200</v>
      </c>
    </row>
    <row r="46" spans="2:8">
      <c r="B46" t="s">
        <v>261</v>
      </c>
    </row>
    <row r="48" spans="2:8">
      <c r="B48" t="s">
        <v>262</v>
      </c>
    </row>
    <row r="50" spans="2:2">
      <c r="B50" t="s">
        <v>202</v>
      </c>
    </row>
    <row r="52" spans="2:2">
      <c r="B52" s="78" t="s">
        <v>263</v>
      </c>
    </row>
    <row r="54" spans="2:2" s="84" customFormat="1">
      <c r="B54" s="84" t="s">
        <v>227</v>
      </c>
    </row>
    <row r="55" spans="2:2" s="84" customFormat="1">
      <c r="B55" s="84" t="s">
        <v>234</v>
      </c>
    </row>
    <row r="56" spans="2:2" s="84" customFormat="1">
      <c r="B56" s="84" t="s">
        <v>270</v>
      </c>
    </row>
    <row r="57" spans="2:2" s="84" customFormat="1">
      <c r="B57" s="84" t="s">
        <v>267</v>
      </c>
    </row>
    <row r="58" spans="2:2" s="84" customFormat="1">
      <c r="B58" s="84" t="s">
        <v>231</v>
      </c>
    </row>
    <row r="59" spans="2:2" s="84" customFormat="1">
      <c r="B59" s="84" t="s">
        <v>233</v>
      </c>
    </row>
    <row r="60" spans="2:2" s="84" customFormat="1">
      <c r="B60" s="84" t="s">
        <v>232</v>
      </c>
    </row>
    <row r="63" spans="2:2">
      <c r="B63" s="109" t="s">
        <v>268</v>
      </c>
    </row>
    <row r="64" spans="2:2">
      <c r="B64" s="109" t="s">
        <v>269</v>
      </c>
    </row>
    <row r="65" spans="2:2">
      <c r="B65" s="109" t="s">
        <v>271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DA349-B064-0B43-9A7E-B9FAD0B31FB6}">
  <sheetPr>
    <tabColor theme="7"/>
  </sheetPr>
  <dimension ref="A1:W65"/>
  <sheetViews>
    <sheetView topLeftCell="C11" zoomScale="110" workbookViewId="0">
      <selection activeCell="L23" sqref="L23"/>
    </sheetView>
  </sheetViews>
  <sheetFormatPr baseColWidth="10" defaultRowHeight="15"/>
  <cols>
    <col min="16" max="16" width="10.83203125" customWidth="1"/>
  </cols>
  <sheetData>
    <row r="1" spans="1:23">
      <c r="A1" t="s">
        <v>205</v>
      </c>
      <c r="H1" t="s">
        <v>205</v>
      </c>
    </row>
    <row r="2" spans="1:23" ht="16" thickBot="1">
      <c r="A2" t="s">
        <v>235</v>
      </c>
      <c r="E2" t="s">
        <v>212</v>
      </c>
      <c r="H2" t="s">
        <v>215</v>
      </c>
    </row>
    <row r="3" spans="1:23">
      <c r="H3" t="s">
        <v>216</v>
      </c>
      <c r="L3" s="85" t="s">
        <v>256</v>
      </c>
      <c r="M3" s="86"/>
      <c r="N3" s="86"/>
      <c r="O3" s="86"/>
      <c r="P3" s="86"/>
      <c r="Q3" s="86"/>
      <c r="R3" s="86"/>
      <c r="S3" s="86"/>
      <c r="T3" s="86"/>
      <c r="U3" s="86"/>
      <c r="V3" s="86"/>
      <c r="W3" s="87"/>
    </row>
    <row r="4" spans="1:23">
      <c r="A4" t="s">
        <v>206</v>
      </c>
      <c r="H4" t="s">
        <v>240</v>
      </c>
      <c r="L4" s="92" t="s">
        <v>254</v>
      </c>
      <c r="M4" s="63">
        <v>1</v>
      </c>
      <c r="N4" s="63">
        <v>2</v>
      </c>
      <c r="O4" s="63">
        <v>3</v>
      </c>
      <c r="P4" s="63">
        <v>4</v>
      </c>
      <c r="Q4" s="63">
        <v>5</v>
      </c>
      <c r="R4" s="63">
        <v>6</v>
      </c>
      <c r="S4" s="63">
        <v>7</v>
      </c>
      <c r="T4" s="63">
        <v>8</v>
      </c>
      <c r="U4" s="63">
        <v>9</v>
      </c>
      <c r="V4" s="63">
        <v>10</v>
      </c>
      <c r="W4" s="93" t="s">
        <v>255</v>
      </c>
    </row>
    <row r="5" spans="1:23">
      <c r="A5" t="s">
        <v>236</v>
      </c>
      <c r="E5" t="s">
        <v>211</v>
      </c>
      <c r="H5" t="s">
        <v>217</v>
      </c>
      <c r="L5" s="88"/>
      <c r="M5" s="90"/>
      <c r="N5" s="90"/>
      <c r="O5" s="91"/>
      <c r="P5" s="90"/>
      <c r="Q5" s="90"/>
      <c r="R5" s="90"/>
      <c r="S5" s="90"/>
      <c r="T5" s="90"/>
      <c r="U5" s="90"/>
      <c r="V5" s="90"/>
      <c r="W5" s="89"/>
    </row>
    <row r="6" spans="1:23">
      <c r="H6" t="s">
        <v>218</v>
      </c>
      <c r="L6" s="88"/>
      <c r="W6" s="89"/>
    </row>
    <row r="7" spans="1:23">
      <c r="A7" t="s">
        <v>207</v>
      </c>
      <c r="L7" s="92" t="s">
        <v>254</v>
      </c>
      <c r="M7" s="106">
        <v>1</v>
      </c>
      <c r="N7" s="106"/>
      <c r="O7" s="106">
        <v>2</v>
      </c>
      <c r="P7" s="106"/>
      <c r="Q7" s="106">
        <v>3</v>
      </c>
      <c r="R7" s="106"/>
      <c r="S7" s="106">
        <v>4</v>
      </c>
      <c r="T7" s="106"/>
      <c r="U7" s="106">
        <v>5</v>
      </c>
      <c r="V7" s="106"/>
      <c r="W7" s="93" t="s">
        <v>255</v>
      </c>
    </row>
    <row r="8" spans="1:23" ht="16" thickBot="1">
      <c r="A8" t="s">
        <v>237</v>
      </c>
      <c r="H8" t="s">
        <v>206</v>
      </c>
      <c r="L8" s="94"/>
      <c r="M8" s="107"/>
      <c r="N8" s="107"/>
      <c r="O8" s="108"/>
      <c r="P8" s="108"/>
      <c r="Q8" s="107"/>
      <c r="R8" s="107"/>
      <c r="S8" s="107"/>
      <c r="T8" s="107"/>
      <c r="U8" s="107"/>
      <c r="V8" s="107"/>
      <c r="W8" s="95"/>
    </row>
    <row r="9" spans="1:23">
      <c r="H9" t="s">
        <v>219</v>
      </c>
    </row>
    <row r="10" spans="1:23">
      <c r="A10" t="s">
        <v>197</v>
      </c>
      <c r="H10" t="s">
        <v>241</v>
      </c>
    </row>
    <row r="11" spans="1:23">
      <c r="A11" t="s">
        <v>238</v>
      </c>
      <c r="H11" s="80" t="s">
        <v>242</v>
      </c>
    </row>
    <row r="12" spans="1:23">
      <c r="H12" t="s">
        <v>243</v>
      </c>
    </row>
    <row r="13" spans="1:23">
      <c r="A13" t="s">
        <v>208</v>
      </c>
      <c r="H13" t="s">
        <v>244</v>
      </c>
    </row>
    <row r="14" spans="1:23">
      <c r="A14" t="s">
        <v>239</v>
      </c>
    </row>
    <row r="15" spans="1:23">
      <c r="H15" t="s">
        <v>207</v>
      </c>
    </row>
    <row r="16" spans="1:23">
      <c r="H16" t="s">
        <v>220</v>
      </c>
    </row>
    <row r="17" spans="1:8">
      <c r="H17" t="s">
        <v>221</v>
      </c>
    </row>
    <row r="18" spans="1:8">
      <c r="H18" t="s">
        <v>245</v>
      </c>
    </row>
    <row r="19" spans="1:8">
      <c r="H19" t="s">
        <v>246</v>
      </c>
    </row>
    <row r="20" spans="1:8">
      <c r="H20" t="s">
        <v>248</v>
      </c>
    </row>
    <row r="21" spans="1:8">
      <c r="H21" t="s">
        <v>247</v>
      </c>
    </row>
    <row r="23" spans="1:8">
      <c r="A23" s="77" t="s">
        <v>265</v>
      </c>
      <c r="H23" t="s">
        <v>197</v>
      </c>
    </row>
    <row r="24" spans="1:8">
      <c r="A24" s="77" t="s">
        <v>266</v>
      </c>
      <c r="H24" t="s">
        <v>249</v>
      </c>
    </row>
    <row r="25" spans="1:8">
      <c r="H25" t="s">
        <v>250</v>
      </c>
    </row>
    <row r="26" spans="1:8">
      <c r="H26" t="s">
        <v>251</v>
      </c>
    </row>
    <row r="27" spans="1:8">
      <c r="H27" t="s">
        <v>222</v>
      </c>
    </row>
    <row r="28" spans="1:8">
      <c r="H28" t="s">
        <v>223</v>
      </c>
    </row>
    <row r="30" spans="1:8">
      <c r="H30" t="s">
        <v>208</v>
      </c>
    </row>
    <row r="31" spans="1:8">
      <c r="H31" t="s">
        <v>252</v>
      </c>
    </row>
    <row r="32" spans="1:8">
      <c r="H32" t="s">
        <v>253</v>
      </c>
    </row>
    <row r="33" spans="8:8">
      <c r="H33" t="s">
        <v>224</v>
      </c>
    </row>
    <row r="34" spans="8:8">
      <c r="H34" t="s">
        <v>225</v>
      </c>
    </row>
    <row r="35" spans="8:8">
      <c r="H35" t="s">
        <v>226</v>
      </c>
    </row>
    <row r="36" spans="8:8">
      <c r="H36" s="63"/>
    </row>
    <row r="37" spans="8:8">
      <c r="H37" s="63"/>
    </row>
    <row r="42" spans="8:8" ht="20">
      <c r="H42" s="81"/>
    </row>
    <row r="43" spans="8:8">
      <c r="H43" s="63"/>
    </row>
    <row r="45" spans="8:8">
      <c r="H45" s="63"/>
    </row>
    <row r="47" spans="8:8">
      <c r="H47" s="63"/>
    </row>
    <row r="49" spans="8:8">
      <c r="H49" s="63"/>
    </row>
    <row r="51" spans="8:8">
      <c r="H51" s="63"/>
    </row>
    <row r="56" spans="8:8" ht="20">
      <c r="H56" s="81"/>
    </row>
    <row r="57" spans="8:8">
      <c r="H57" s="63"/>
    </row>
    <row r="59" spans="8:8">
      <c r="H59" s="63"/>
    </row>
    <row r="61" spans="8:8">
      <c r="H61" s="63"/>
    </row>
    <row r="63" spans="8:8">
      <c r="H63" s="63"/>
    </row>
    <row r="65" spans="8:8">
      <c r="H65" s="63"/>
    </row>
  </sheetData>
  <mergeCells count="10">
    <mergeCell ref="M8:N8"/>
    <mergeCell ref="O8:P8"/>
    <mergeCell ref="Q8:R8"/>
    <mergeCell ref="S8:T8"/>
    <mergeCell ref="U8:V8"/>
    <mergeCell ref="M7:N7"/>
    <mergeCell ref="O7:P7"/>
    <mergeCell ref="Q7:R7"/>
    <mergeCell ref="S7:T7"/>
    <mergeCell ref="U7:V7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574A5-EF78-6F4E-B926-C0DB702AEBE2}">
  <dimension ref="A1:D15"/>
  <sheetViews>
    <sheetView topLeftCell="A5" zoomScale="133" workbookViewId="0">
      <selection activeCell="B13" sqref="B13"/>
    </sheetView>
  </sheetViews>
  <sheetFormatPr baseColWidth="10" defaultRowHeight="15"/>
  <cols>
    <col min="1" max="1" width="24.1640625" bestFit="1" customWidth="1"/>
    <col min="2" max="2" width="49.33203125" customWidth="1"/>
    <col min="3" max="3" width="88.6640625" customWidth="1"/>
    <col min="4" max="4" width="119.33203125" customWidth="1"/>
  </cols>
  <sheetData>
    <row r="1" spans="1:4" s="63" customFormat="1">
      <c r="A1" s="63" t="s">
        <v>118</v>
      </c>
      <c r="B1" s="63" t="s">
        <v>116</v>
      </c>
      <c r="C1" s="63" t="s">
        <v>117</v>
      </c>
      <c r="D1" s="63" t="s">
        <v>119</v>
      </c>
    </row>
    <row r="2" spans="1:4" ht="32">
      <c r="A2" t="s">
        <v>123</v>
      </c>
      <c r="B2" t="s">
        <v>120</v>
      </c>
      <c r="C2" s="62" t="s">
        <v>129</v>
      </c>
      <c r="D2" s="62" t="s">
        <v>130</v>
      </c>
    </row>
    <row r="3" spans="1:4">
      <c r="A3" t="s">
        <v>123</v>
      </c>
      <c r="B3" t="s">
        <v>121</v>
      </c>
      <c r="C3" t="s">
        <v>122</v>
      </c>
    </row>
    <row r="4" spans="1:4" ht="32">
      <c r="A4" t="s">
        <v>123</v>
      </c>
      <c r="B4" t="s">
        <v>126</v>
      </c>
      <c r="C4" t="s">
        <v>131</v>
      </c>
      <c r="D4" s="62" t="s">
        <v>127</v>
      </c>
    </row>
    <row r="5" spans="1:4" ht="32">
      <c r="A5" t="s">
        <v>124</v>
      </c>
      <c r="B5" t="s">
        <v>128</v>
      </c>
      <c r="C5" s="62" t="s">
        <v>132</v>
      </c>
      <c r="D5" t="s">
        <v>133</v>
      </c>
    </row>
    <row r="6" spans="1:4" ht="48">
      <c r="A6" t="s">
        <v>149</v>
      </c>
      <c r="B6" t="s">
        <v>148</v>
      </c>
      <c r="C6" s="62" t="s">
        <v>147</v>
      </c>
    </row>
    <row r="7" spans="1:4">
      <c r="A7" t="s">
        <v>149</v>
      </c>
      <c r="B7" t="s">
        <v>146</v>
      </c>
      <c r="C7" t="s">
        <v>153</v>
      </c>
    </row>
    <row r="8" spans="1:4">
      <c r="A8" t="s">
        <v>150</v>
      </c>
      <c r="B8" t="s">
        <v>151</v>
      </c>
      <c r="C8" s="82" t="s">
        <v>228</v>
      </c>
    </row>
    <row r="9" spans="1:4">
      <c r="A9" t="s">
        <v>150</v>
      </c>
      <c r="B9" t="s">
        <v>152</v>
      </c>
      <c r="C9" t="s">
        <v>155</v>
      </c>
    </row>
    <row r="10" spans="1:4" ht="48">
      <c r="A10" t="s">
        <v>150</v>
      </c>
      <c r="B10" t="s">
        <v>154</v>
      </c>
      <c r="C10" s="62" t="s">
        <v>179</v>
      </c>
    </row>
    <row r="11" spans="1:4">
      <c r="A11" s="77" t="s">
        <v>157</v>
      </c>
      <c r="B11" s="83" t="s">
        <v>158</v>
      </c>
      <c r="C11" s="83" t="s">
        <v>229</v>
      </c>
    </row>
    <row r="12" spans="1:4">
      <c r="A12" s="83" t="s">
        <v>159</v>
      </c>
      <c r="B12" s="83" t="s">
        <v>158</v>
      </c>
      <c r="C12" s="83" t="s">
        <v>230</v>
      </c>
    </row>
    <row r="13" spans="1:4" ht="176">
      <c r="A13" t="s">
        <v>162</v>
      </c>
      <c r="B13" s="62" t="s">
        <v>161</v>
      </c>
      <c r="C13" s="62" t="s">
        <v>164</v>
      </c>
    </row>
    <row r="14" spans="1:4" ht="96">
      <c r="A14" t="s">
        <v>163</v>
      </c>
      <c r="B14" t="s">
        <v>103</v>
      </c>
      <c r="C14" s="62" t="s">
        <v>166</v>
      </c>
    </row>
    <row r="15" spans="1:4" ht="16">
      <c r="A15" t="s">
        <v>123</v>
      </c>
      <c r="B15" t="s">
        <v>177</v>
      </c>
      <c r="C15" s="66" t="s">
        <v>178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BF4B8-43A2-3648-97CA-BEAD01AFE829}">
  <dimension ref="A1:D9"/>
  <sheetViews>
    <sheetView topLeftCell="B2" zoomScale="125" workbookViewId="0">
      <selection activeCell="C6" sqref="C6"/>
    </sheetView>
  </sheetViews>
  <sheetFormatPr baseColWidth="10" defaultRowHeight="15"/>
  <cols>
    <col min="1" max="1" width="14.1640625" bestFit="1" customWidth="1"/>
    <col min="2" max="2" width="47.5" customWidth="1"/>
    <col min="3" max="3" width="89.33203125" customWidth="1"/>
    <col min="4" max="4" width="131.33203125" bestFit="1" customWidth="1"/>
  </cols>
  <sheetData>
    <row r="1" spans="1:4" s="63" customFormat="1">
      <c r="A1" s="63" t="s">
        <v>118</v>
      </c>
      <c r="B1" s="63" t="s">
        <v>116</v>
      </c>
      <c r="C1" s="63" t="s">
        <v>117</v>
      </c>
      <c r="D1" s="63" t="s">
        <v>119</v>
      </c>
    </row>
    <row r="2" spans="1:4" ht="32">
      <c r="A2" t="s">
        <v>125</v>
      </c>
      <c r="B2" t="s">
        <v>137</v>
      </c>
      <c r="C2" t="s">
        <v>135</v>
      </c>
      <c r="D2" s="62" t="s">
        <v>134</v>
      </c>
    </row>
    <row r="3" spans="1:4">
      <c r="A3" t="s">
        <v>125</v>
      </c>
      <c r="B3" t="s">
        <v>136</v>
      </c>
      <c r="C3" t="s">
        <v>135</v>
      </c>
      <c r="D3" t="s">
        <v>138</v>
      </c>
    </row>
    <row r="4" spans="1:4" ht="48">
      <c r="A4" t="s">
        <v>125</v>
      </c>
      <c r="B4" t="s">
        <v>148</v>
      </c>
      <c r="C4" s="62" t="s">
        <v>147</v>
      </c>
    </row>
    <row r="5" spans="1:4">
      <c r="A5" t="s">
        <v>125</v>
      </c>
      <c r="B5" t="s">
        <v>146</v>
      </c>
      <c r="C5" t="s">
        <v>153</v>
      </c>
    </row>
    <row r="6" spans="1:4">
      <c r="A6" t="s">
        <v>167</v>
      </c>
      <c r="B6" t="s">
        <v>151</v>
      </c>
      <c r="C6" t="s">
        <v>176</v>
      </c>
    </row>
    <row r="7" spans="1:4">
      <c r="A7" t="s">
        <v>167</v>
      </c>
      <c r="B7" t="s">
        <v>152</v>
      </c>
      <c r="C7" t="s">
        <v>156</v>
      </c>
    </row>
    <row r="8" spans="1:4" ht="32">
      <c r="A8" t="s">
        <v>167</v>
      </c>
      <c r="B8" s="62" t="s">
        <v>158</v>
      </c>
      <c r="C8" s="62" t="s">
        <v>160</v>
      </c>
    </row>
    <row r="9" spans="1:4" ht="256">
      <c r="A9" t="s">
        <v>167</v>
      </c>
      <c r="B9" s="62" t="s">
        <v>168</v>
      </c>
      <c r="C9" s="62" t="s">
        <v>169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0DC90-B1CC-D443-844D-00EB64BA509F}">
  <dimension ref="A1:A7"/>
  <sheetViews>
    <sheetView zoomScale="125" workbookViewId="0">
      <selection activeCell="C11" sqref="C11"/>
    </sheetView>
  </sheetViews>
  <sheetFormatPr baseColWidth="10" defaultRowHeight="15"/>
  <sheetData>
    <row r="1" spans="1:1">
      <c r="A1" t="s">
        <v>139</v>
      </c>
    </row>
    <row r="3" spans="1:1">
      <c r="A3" t="s">
        <v>144</v>
      </c>
    </row>
    <row r="4" spans="1:1">
      <c r="A4" t="s">
        <v>142</v>
      </c>
    </row>
    <row r="5" spans="1:1">
      <c r="A5" t="s">
        <v>143</v>
      </c>
    </row>
    <row r="6" spans="1:1">
      <c r="A6" t="s">
        <v>140</v>
      </c>
    </row>
    <row r="7" spans="1:1">
      <c r="A7" t="s">
        <v>141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0F725-8B4D-9D49-9E19-2F98FE52CE0F}">
  <dimension ref="A1:C3"/>
  <sheetViews>
    <sheetView zoomScale="178" workbookViewId="0">
      <selection activeCell="C7" sqref="C7"/>
    </sheetView>
  </sheetViews>
  <sheetFormatPr baseColWidth="10" defaultRowHeight="15"/>
  <cols>
    <col min="3" max="3" width="55.33203125" customWidth="1"/>
  </cols>
  <sheetData>
    <row r="1" spans="1:3" s="63" customFormat="1">
      <c r="A1" s="63" t="s">
        <v>118</v>
      </c>
      <c r="B1" s="63" t="s">
        <v>116</v>
      </c>
      <c r="C1" s="63" t="s">
        <v>173</v>
      </c>
    </row>
    <row r="2" spans="1:3">
      <c r="A2" t="s">
        <v>170</v>
      </c>
      <c r="B2" t="s">
        <v>171</v>
      </c>
      <c r="C2" t="s">
        <v>174</v>
      </c>
    </row>
    <row r="3" spans="1:3" ht="80">
      <c r="A3" t="s">
        <v>170</v>
      </c>
      <c r="B3" t="s">
        <v>172</v>
      </c>
      <c r="C3" s="62" t="s">
        <v>175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找人邏輯</vt:lpstr>
      <vt:lpstr>找人邏輯v2</vt:lpstr>
      <vt:lpstr>找人滑桿</vt:lpstr>
      <vt:lpstr>找人參數設定</vt:lpstr>
      <vt:lpstr>找房參數設定</vt:lpstr>
      <vt:lpstr>找房邏輯</vt:lpstr>
      <vt:lpstr>個人主頁模組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2025-07-25T04:13:21Z</dcterms:created>
  <dcterms:modified xsi:type="dcterms:W3CDTF">2025-10-02T08:27:10Z</dcterms:modified>
</cp:coreProperties>
</file>